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tijs-my.sharepoint.com/personal/aldo_dalat_vtijs_com/Documents/DATA_D_SYNC/ALDO DALAT/ROSTER/"/>
    </mc:Choice>
  </mc:AlternateContent>
  <xr:revisionPtr revIDLastSave="245" documentId="13_ncr:1_{DF6BDB9A-63E1-4D82-9446-7C159320C83F}" xr6:coauthVersionLast="47" xr6:coauthVersionMax="47" xr10:uidLastSave="{5D7A5D1C-3C18-41C3-8C5B-892E615AE7FC}"/>
  <bookViews>
    <workbookView xWindow="-120" yWindow="-120" windowWidth="29040" windowHeight="15840" firstSheet="3" activeTab="4" xr2:uid="{00000000-000D-0000-FFFF-FFFF00000000}"/>
  </bookViews>
  <sheets>
    <sheet name="Sheet2" sheetId="3" state="hidden" r:id="rId1"/>
    <sheet name="Sheet1" sheetId="2" state="hidden" r:id="rId2"/>
    <sheet name="JAN" sheetId="36" r:id="rId3"/>
    <sheet name="FEB" sheetId="37" r:id="rId4"/>
    <sheet name="MAR" sheetId="38" r:id="rId5"/>
    <sheet name="APR" sheetId="39" r:id="rId6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8" roundtripDataChecksum="u4aqkuitcUTnOY+DtL8DVFYm2AhGuMkQbdakKR6Yid0="/>
    </ext>
  </extLst>
</workbook>
</file>

<file path=xl/calcChain.xml><?xml version="1.0" encoding="utf-8"?>
<calcChain xmlns="http://schemas.openxmlformats.org/spreadsheetml/2006/main">
  <c r="AI31" i="39" l="1"/>
  <c r="AH31" i="39"/>
  <c r="AG31" i="39"/>
  <c r="AF31" i="39"/>
  <c r="AE31" i="39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AI30" i="39"/>
  <c r="AH30" i="39"/>
  <c r="AG30" i="39"/>
  <c r="AF30" i="39"/>
  <c r="AE30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AI29" i="39"/>
  <c r="AH29" i="39"/>
  <c r="AG29" i="39"/>
  <c r="AF29" i="39"/>
  <c r="AE29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AI28" i="39"/>
  <c r="AH28" i="39"/>
  <c r="AG28" i="39"/>
  <c r="AF28" i="39"/>
  <c r="AE28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O16" i="39"/>
  <c r="O15" i="39"/>
  <c r="O14" i="39"/>
  <c r="O17" i="39" s="1"/>
  <c r="N14" i="39"/>
  <c r="O15" i="38"/>
  <c r="O16" i="38"/>
  <c r="O14" i="38"/>
  <c r="O17" i="38" s="1"/>
  <c r="O18" i="38"/>
  <c r="N14" i="38"/>
  <c r="AI28" i="38"/>
  <c r="AJ28" i="38"/>
  <c r="AI29" i="38"/>
  <c r="AJ29" i="38"/>
  <c r="AI30" i="38"/>
  <c r="AJ30" i="38"/>
  <c r="AI31" i="38"/>
  <c r="AJ31" i="38"/>
  <c r="O19" i="38"/>
  <c r="AH31" i="38"/>
  <c r="AG31" i="38"/>
  <c r="AF31" i="38"/>
  <c r="AE31" i="38"/>
  <c r="AD31" i="38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AH30" i="38"/>
  <c r="AG30" i="38"/>
  <c r="AF30" i="38"/>
  <c r="AE30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AH15" i="37"/>
  <c r="AH16" i="37"/>
  <c r="AH17" i="37"/>
  <c r="AH18" i="37"/>
  <c r="AH19" i="37"/>
  <c r="AH20" i="37"/>
  <c r="AH21" i="37"/>
  <c r="AH22" i="37"/>
  <c r="AH23" i="37"/>
  <c r="AH24" i="37"/>
  <c r="AH25" i="37"/>
  <c r="AH26" i="37"/>
  <c r="AH27" i="37"/>
  <c r="AH28" i="37"/>
  <c r="AH29" i="37"/>
  <c r="AH30" i="37"/>
  <c r="AH31" i="37"/>
  <c r="AH32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AG32" i="37"/>
  <c r="AF32" i="37"/>
  <c r="AE32" i="37"/>
  <c r="AD32" i="37"/>
  <c r="AC32" i="37"/>
  <c r="AB32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F32" i="37"/>
  <c r="AG31" i="37"/>
  <c r="AF31" i="37"/>
  <c r="AE31" i="37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AG30" i="37"/>
  <c r="AF30" i="37"/>
  <c r="AE30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AG29" i="37"/>
  <c r="AF29" i="37"/>
  <c r="AE29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AG21" i="37"/>
  <c r="AF21" i="37"/>
  <c r="AE21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AG20" i="37"/>
  <c r="AF20" i="37"/>
  <c r="AE20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AG19" i="37"/>
  <c r="AF19" i="37"/>
  <c r="AE19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AG17" i="37"/>
  <c r="AF17" i="37"/>
  <c r="AE17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AG16" i="37"/>
  <c r="AF16" i="37"/>
  <c r="AE16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AG18" i="37"/>
  <c r="AF18" i="37"/>
  <c r="AE18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AG15" i="37"/>
  <c r="AF15" i="37"/>
  <c r="AE15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AJ30" i="36"/>
  <c r="AI30" i="36"/>
  <c r="AH30" i="36"/>
  <c r="AG30" i="36"/>
  <c r="AF30" i="36"/>
  <c r="AE30" i="36"/>
  <c r="AD30" i="36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AJ22" i="36"/>
  <c r="AI22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AJ21" i="36"/>
  <c r="AI21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AJ20" i="36"/>
  <c r="AI20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AJ19" i="36"/>
  <c r="AI19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AJ18" i="36"/>
  <c r="AI18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AJ17" i="36"/>
  <c r="AI17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AJ16" i="36"/>
  <c r="AI16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AJ15" i="36"/>
  <c r="AI15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AJ14" i="36"/>
  <c r="AI14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AJ13" i="36"/>
  <c r="AI13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G2" i="3"/>
  <c r="F2" i="3"/>
  <c r="E3" i="3"/>
  <c r="D4" i="3"/>
  <c r="C3" i="3"/>
  <c r="B3" i="3"/>
  <c r="A2" i="3"/>
  <c r="B8" i="2"/>
  <c r="B7" i="2"/>
  <c r="B6" i="2"/>
  <c r="B5" i="2"/>
  <c r="B4" i="2"/>
  <c r="C8" i="2"/>
  <c r="C7" i="2"/>
  <c r="C6" i="2"/>
  <c r="C4" i="2"/>
  <c r="D7" i="2"/>
  <c r="D6" i="2"/>
  <c r="D5" i="2"/>
  <c r="E8" i="2"/>
  <c r="E5" i="2"/>
  <c r="E4" i="2"/>
  <c r="F8" i="2"/>
  <c r="F7" i="2"/>
  <c r="F6" i="2"/>
  <c r="F5" i="2"/>
  <c r="F4" i="2"/>
  <c r="F3" i="2"/>
  <c r="A8" i="2"/>
  <c r="A7" i="2"/>
  <c r="A6" i="2"/>
  <c r="A5" i="2"/>
  <c r="A4" i="2"/>
  <c r="A3" i="2"/>
  <c r="O20" i="39" l="1"/>
  <c r="O19" i="39"/>
  <c r="O18" i="39"/>
  <c r="O21" i="38"/>
  <c r="O20" i="38"/>
  <c r="O25" i="38" s="1"/>
  <c r="O22" i="38"/>
  <c r="O21" i="39" l="1"/>
  <c r="O23" i="39"/>
  <c r="O22" i="39"/>
  <c r="O23" i="38"/>
  <c r="O26" i="38"/>
  <c r="O24" i="38"/>
  <c r="O26" i="39" l="1"/>
  <c r="O25" i="39"/>
  <c r="O24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  <comment ref="B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  <comment ref="B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  <comment ref="B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  <comment ref="B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  <comment ref="B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  <comment ref="B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  <comment ref="B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  <comment ref="B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  <comment ref="B8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HỌP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5" authorId="0" shapeId="0" xr:uid="{E9366E08-C313-4175-B877-2DDDD06B183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ĐỂ VẬY CHO NHA
</t>
        </r>
      </text>
    </comment>
    <comment ref="I5" authorId="0" shapeId="0" xr:uid="{E0EB6E35-9DA0-4735-A508-F00E7CF8169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ĐỂ VẬY K ĐỔI CỦA TRANG
</t>
        </r>
      </text>
    </comment>
    <comment ref="AH5" authorId="0" shapeId="0" xr:uid="{C3005E80-B56C-4AC1-B61D-5EFC7512C8F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9H TRANG LÊN</t>
        </r>
      </text>
    </comment>
    <comment ref="W6" authorId="0" shapeId="0" xr:uid="{BC6F2BD1-9306-4A7C-8CF6-24A14A1EE0C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EM XIN B NHA CHỊ
</t>
        </r>
      </text>
    </comment>
    <comment ref="F7" authorId="0" shapeId="0" xr:uid="{CF8DE516-5A71-4E3B-8F8E-53AC6EF5A40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EM VỀ QÊ
</t>
        </r>
      </text>
    </comment>
    <comment ref="W8" authorId="0" shapeId="0" xr:uid="{63939EEB-FF15-4BC3-BAE5-C07D99551CE4}">
      <text>
        <r>
          <rPr>
            <b/>
            <sz val="9"/>
            <color indexed="81"/>
            <rFont val="Tahoma"/>
            <family val="2"/>
          </rPr>
          <t>MAI E HỌC CẢ NGÀY :((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6" authorId="0" shapeId="0" xr:uid="{EC1AECC2-BA4D-46FD-8812-89F9CCB4400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KO ĐỔI</t>
        </r>
      </text>
    </comment>
    <comment ref="H6" authorId="0" shapeId="0" xr:uid="{59695D45-4511-4C38-980F-EDB7838A404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qt ko đổi</t>
        </r>
      </text>
    </comment>
    <comment ref="K6" authorId="0" shapeId="0" xr:uid="{8D6CEF54-3260-4E86-BED3-8669D57AC1A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BẬN CV, KO THAY ĐỔI</t>
        </r>
      </text>
    </comment>
    <comment ref="N6" authorId="0" shapeId="0" xr:uid="{EABAAE12-47C5-46E1-A61E-6BA82C6D237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tất cả trang đã xếp ko thay đổi</t>
        </r>
      </text>
    </comment>
    <comment ref="R6" authorId="0" shapeId="0" xr:uid="{0EE30BA2-039B-490A-AE88-05151137BF2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KO THAY ĐỔI</t>
        </r>
      </text>
    </comment>
    <comment ref="T6" authorId="0" shapeId="0" xr:uid="{A8C6113D-8966-4E91-B642-6EA03903104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KO ĐỔI</t>
        </r>
      </text>
    </comment>
    <comment ref="U6" authorId="0" shapeId="0" xr:uid="{C837618F-3E17-4D7E-9E4B-E200E327E21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CHỐT KO ĐỔI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V5" authorId="0" shapeId="0" xr:uid="{70211E5F-D5F4-4B48-895C-CCFD0912B77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Lịch Off không đổi !
</t>
        </r>
      </text>
    </comment>
    <comment ref="W5" authorId="0" shapeId="0" xr:uid="{FCC83781-C6F4-42EF-8DBD-5DA6AAFF536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Lịch Off không đổi !
</t>
        </r>
      </text>
    </comment>
    <comment ref="X5" authorId="0" shapeId="0" xr:uid="{B2E1B963-F241-452E-8058-A6EF036D842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Lịch Off không đổi !
</t>
        </r>
      </text>
    </comment>
    <comment ref="N6" authorId="0" shapeId="0" xr:uid="{B77A197F-D129-467A-B8BB-301A6482C25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O6" authorId="0" shapeId="0" xr:uid="{44FBCDEB-4787-4975-970C-797B022A2A2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Q6" authorId="0" shapeId="0" xr:uid="{1FD0FDC3-081B-48B9-9B39-4AB5D46FF9C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R6" authorId="0" shapeId="0" xr:uid="{B3C917EE-698A-4F9B-AF36-04DC4DCC1AC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S6" authorId="0" shapeId="0" xr:uid="{24271F94-BAE7-4922-83D7-17FA827084A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T6" authorId="0" shapeId="0" xr:uid="{258D9D34-F1EA-431F-9C9A-3670710079A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N7" authorId="0" shapeId="0" xr:uid="{AD6A4A6C-1812-4352-9062-C77D91ABD12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O7" authorId="0" shapeId="0" xr:uid="{64BE200A-F9CC-4CE0-A131-9DF0AC517B2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Q7" authorId="0" shapeId="0" xr:uid="{3E4F6460-C8FB-4240-88A9-0D06B2C46DE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R7" authorId="0" shapeId="0" xr:uid="{BD50D360-9C35-4F05-9F5A-ED973DEE282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S7" authorId="0" shapeId="0" xr:uid="{4400AC37-1982-4FB4-93E7-29F08C97D3D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  <comment ref="T7" authorId="0" shapeId="0" xr:uid="{A6B0F377-CE06-4DA7-9F22-E0A9F1BB35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ĐỪNG ĐỔI CỦA EM NHA</t>
        </r>
      </text>
    </comment>
  </commentList>
</comments>
</file>

<file path=xl/sharedStrings.xml><?xml version="1.0" encoding="utf-8"?>
<sst xmlns="http://schemas.openxmlformats.org/spreadsheetml/2006/main" count="1012" uniqueCount="108">
  <si>
    <t>OFF</t>
  </si>
  <si>
    <t xml:space="preserve">ALDO GO DA LAT </t>
  </si>
  <si>
    <t>THU</t>
  </si>
  <si>
    <t>FRI</t>
  </si>
  <si>
    <t>SAT</t>
  </si>
  <si>
    <t>SUN</t>
  </si>
  <si>
    <t>MON</t>
  </si>
  <si>
    <t>TUE</t>
  </si>
  <si>
    <t>WED</t>
  </si>
  <si>
    <t>STT</t>
  </si>
  <si>
    <t xml:space="preserve">NAME </t>
  </si>
  <si>
    <t>POS</t>
  </si>
  <si>
    <t>MÃ NV</t>
  </si>
  <si>
    <t>SỐ ĐIỆN THOẠI</t>
  </si>
  <si>
    <t>Phan Huỳnh Bảo Trân</t>
  </si>
  <si>
    <t>SL</t>
  </si>
  <si>
    <t>NTH240096</t>
  </si>
  <si>
    <t>0968792343</t>
  </si>
  <si>
    <t>B</t>
  </si>
  <si>
    <t>A</t>
  </si>
  <si>
    <t xml:space="preserve">AL </t>
  </si>
  <si>
    <t>AL</t>
  </si>
  <si>
    <t>C</t>
  </si>
  <si>
    <t>Đỗ  Thị Thùy Trang</t>
  </si>
  <si>
    <t>SA</t>
  </si>
  <si>
    <t>NTH250031</t>
  </si>
  <si>
    <t>0354530372</t>
  </si>
  <si>
    <t>Nguyễn Nhật Na</t>
  </si>
  <si>
    <t>NTH250146</t>
  </si>
  <si>
    <t>0971764727</t>
  </si>
  <si>
    <t>Nguyễn Võ Nhật Hân</t>
  </si>
  <si>
    <t>PT</t>
  </si>
  <si>
    <t>NTH250018</t>
  </si>
  <si>
    <t>0797730163</t>
  </si>
  <si>
    <t>A1</t>
  </si>
  <si>
    <t>A10</t>
  </si>
  <si>
    <t>A4</t>
  </si>
  <si>
    <t>A3</t>
  </si>
  <si>
    <t>Nguyễn Vũ Mai Vi</t>
  </si>
  <si>
    <t>NTH250048</t>
  </si>
  <si>
    <t>0853398005</t>
  </si>
  <si>
    <t>A2</t>
  </si>
  <si>
    <t>A5</t>
  </si>
  <si>
    <t>Ngô Phúc</t>
  </si>
  <si>
    <t>SL IT</t>
  </si>
  <si>
    <t>NTH260007</t>
  </si>
  <si>
    <t>0938649420</t>
  </si>
  <si>
    <t>A11</t>
  </si>
  <si>
    <t>Vương Cao Thanh Quyên</t>
  </si>
  <si>
    <t>A6</t>
  </si>
  <si>
    <t>A12</t>
  </si>
  <si>
    <t>GIỜ LÀM VIỆC</t>
  </si>
  <si>
    <t>7:20 - 14:50</t>
  </si>
  <si>
    <t>9:00 - 13:00</t>
  </si>
  <si>
    <t>14:30 - 22:00</t>
  </si>
  <si>
    <t>12:00 - 19:30</t>
  </si>
  <si>
    <t>10:30 - 14:30</t>
  </si>
  <si>
    <t>11:00 - 15:00</t>
  </si>
  <si>
    <t>12:00 - 16:00</t>
  </si>
  <si>
    <t>13:00 - 17:00</t>
  </si>
  <si>
    <t>14:00 - 18:00</t>
  </si>
  <si>
    <t>15:00 - 19:00</t>
  </si>
  <si>
    <t>A7</t>
  </si>
  <si>
    <t>16:00 - 20:00</t>
  </si>
  <si>
    <t>A8</t>
  </si>
  <si>
    <t>17:00 - 21:00</t>
  </si>
  <si>
    <t>A9</t>
  </si>
  <si>
    <t>18:00 - 22:00</t>
  </si>
  <si>
    <t>19:00 - 22:00</t>
  </si>
  <si>
    <t>Off Day</t>
  </si>
  <si>
    <t>Unpaid Leave</t>
  </si>
  <si>
    <t>UL</t>
  </si>
  <si>
    <t xml:space="preserve">Annual Leave </t>
  </si>
  <si>
    <t>NGHĨ TẾT</t>
  </si>
  <si>
    <t>PH</t>
  </si>
  <si>
    <t xml:space="preserve">SL </t>
  </si>
  <si>
    <t>A01</t>
  </si>
  <si>
    <t>B01</t>
  </si>
  <si>
    <t>B02</t>
  </si>
  <si>
    <t>Nguyễn Bảo Tuyên</t>
  </si>
  <si>
    <t>NTH260020</t>
  </si>
  <si>
    <t>Trương Thị Thúy Hằng</t>
  </si>
  <si>
    <t xml:space="preserve">A10 </t>
  </si>
  <si>
    <t>NTH260017</t>
  </si>
  <si>
    <t xml:space="preserve"> </t>
  </si>
  <si>
    <t>Nguyễn Thị Mai Trân</t>
  </si>
  <si>
    <t>NTH260019</t>
  </si>
  <si>
    <t xml:space="preserve">A1 </t>
  </si>
  <si>
    <t>10:00 - 14:00</t>
  </si>
  <si>
    <t>16:00 - 22:00</t>
  </si>
  <si>
    <t>OIL</t>
  </si>
  <si>
    <t>12h-18h</t>
  </si>
  <si>
    <t>B2</t>
  </si>
  <si>
    <t>B3</t>
  </si>
  <si>
    <t>B1</t>
  </si>
  <si>
    <t>7:30 - 15:30</t>
  </si>
  <si>
    <t>FULL TIME</t>
  </si>
  <si>
    <t>14:00 - 22:00</t>
  </si>
  <si>
    <t>12:00 - 20:00</t>
  </si>
  <si>
    <t>7:30 - 11:30</t>
  </si>
  <si>
    <t>PART TIME</t>
  </si>
  <si>
    <t>11:00-15:00</t>
  </si>
  <si>
    <t>Trần Như Phượng</t>
  </si>
  <si>
    <t>0963063852</t>
  </si>
  <si>
    <t>Cung Thị Thanh Huyền</t>
  </si>
  <si>
    <t>NTH260054</t>
  </si>
  <si>
    <t>NTH260038</t>
  </si>
  <si>
    <t>0981525840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</si>
</sst>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[$-409]d\-mmm"/>
    <numFmt numFmtId="169" formatCode="&quot;₫&quot;#,##0_);[Red]\(&quot;₫&quot;#,##0\)"/>
    <numFmt numFmtId="170" formatCode="#,##0;[Red]#,##0"/>
    <numFmt numFmtId="171" formatCode="0##########"/>
  </numFmts>
  <fonts count="31" x14ac:knownFonts="1">
    <font>
      <sz val="11"/>
      <color theme="1"/>
      <name val="Arial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4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  <font>
      <sz val="14"/>
      <color rgb="FFFFFFFF"/>
      <name val="Times New Roman"/>
      <family val="1"/>
    </font>
    <font>
      <sz val="13"/>
      <color rgb="FFFFFFFF"/>
      <name val="Times New Roman"/>
      <family val="1"/>
    </font>
    <font>
      <sz val="13"/>
      <color rgb="FFFF0000"/>
      <name val="Times New Roman"/>
      <family val="1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616161"/>
      <name val="Segoe UI"/>
      <family val="2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  <font>
      <sz val="14"/>
      <color rgb="FFFFFFFF"/>
      <name val="Times New Roman"/>
      <family val="1"/>
    </font>
    <font>
      <sz val="13"/>
      <color rgb="FFFFFFFF"/>
      <name val="Times New Roman"/>
      <family val="1"/>
    </font>
    <font>
      <sz val="13"/>
      <color rgb="FFFF0000"/>
      <name val="Times New Roman"/>
      <family val="1"/>
    </font>
    <font>
      <b/>
      <sz val="10"/>
      <color rgb="FF000000"/>
      <name val="Times New Roman"/>
      <family val="1"/>
    </font>
    <font>
      <sz val="8"/>
      <name val="Arial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969696"/>
        <bgColor rgb="FF969696"/>
      </patternFill>
    </fill>
    <fill>
      <patternFill patternType="solid">
        <fgColor rgb="FFC00000"/>
        <bgColor rgb="FFC00000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A8D08D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92D050"/>
      </patternFill>
    </fill>
    <fill>
      <patternFill patternType="solid">
        <fgColor rgb="FFFF0000"/>
        <bgColor rgb="FFA8D08D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A8D08D"/>
      </patternFill>
    </fill>
    <fill>
      <patternFill patternType="solid">
        <fgColor rgb="FF00B0F0"/>
        <bgColor rgb="FF92D050"/>
      </patternFill>
    </fill>
    <fill>
      <patternFill patternType="solid">
        <fgColor rgb="FF00B0F0"/>
        <bgColor rgb="FFA8D08D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39997558519241921"/>
        <bgColor rgb="FF92D050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1" fillId="17" borderId="14" applyNumberFormat="0" applyFont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0" fillId="0" borderId="0" xfId="1" applyFont="1" applyAlignment="1"/>
    <xf numFmtId="166" fontId="0" fillId="0" borderId="0" xfId="1" applyNumberFormat="1" applyFont="1" applyAlignment="1"/>
    <xf numFmtId="166" fontId="1" fillId="5" borderId="1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5" borderId="1" xfId="1" applyNumberFormat="1" applyFont="1" applyFill="1" applyBorder="1" applyAlignment="1">
      <alignment horizontal="center"/>
    </xf>
    <xf numFmtId="167" fontId="7" fillId="7" borderId="2" xfId="2" applyNumberFormat="1" applyFont="1" applyFill="1" applyBorder="1"/>
    <xf numFmtId="164" fontId="1" fillId="5" borderId="1" xfId="0" applyNumberFormat="1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9" fillId="0" borderId="4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/>
    <xf numFmtId="0" fontId="8" fillId="8" borderId="0" xfId="0" applyFont="1" applyFill="1"/>
    <xf numFmtId="0" fontId="11" fillId="10" borderId="5" xfId="0" applyFont="1" applyFill="1" applyBorder="1" applyAlignment="1">
      <alignment vertical="center"/>
    </xf>
    <xf numFmtId="0" fontId="11" fillId="10" borderId="6" xfId="0" applyFont="1" applyFill="1" applyBorder="1" applyAlignment="1">
      <alignment vertical="center"/>
    </xf>
    <xf numFmtId="0" fontId="11" fillId="10" borderId="7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8" fontId="2" fillId="11" borderId="9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wrapText="1"/>
    </xf>
    <xf numFmtId="0" fontId="2" fillId="12" borderId="3" xfId="0" applyFont="1" applyFill="1" applyBorder="1" applyAlignment="1">
      <alignment horizontal="left" vertical="center"/>
    </xf>
    <xf numFmtId="169" fontId="2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20" fontId="15" fillId="0" borderId="3" xfId="0" applyNumberFormat="1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5" fillId="0" borderId="3" xfId="0" applyFont="1" applyBorder="1"/>
    <xf numFmtId="0" fontId="15" fillId="0" borderId="3" xfId="0" applyFont="1" applyBorder="1" applyAlignment="1">
      <alignment horizontal="left" vertical="center" wrapText="1"/>
    </xf>
    <xf numFmtId="0" fontId="17" fillId="13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wrapText="1"/>
    </xf>
    <xf numFmtId="0" fontId="9" fillId="0" borderId="2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169" fontId="2" fillId="0" borderId="3" xfId="0" quotePrefix="1" applyNumberFormat="1" applyFont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0" borderId="2" xfId="0" applyFont="1" applyBorder="1"/>
    <xf numFmtId="168" fontId="2" fillId="14" borderId="2" xfId="0" applyNumberFormat="1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wrapText="1"/>
    </xf>
    <xf numFmtId="0" fontId="18" fillId="13" borderId="3" xfId="0" applyFont="1" applyFill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/>
    </xf>
    <xf numFmtId="0" fontId="12" fillId="16" borderId="3" xfId="0" applyFont="1" applyFill="1" applyBorder="1" applyAlignment="1">
      <alignment horizontal="center" wrapText="1"/>
    </xf>
    <xf numFmtId="0" fontId="12" fillId="18" borderId="3" xfId="0" applyFont="1" applyFill="1" applyBorder="1" applyAlignment="1">
      <alignment horizontal="center" wrapText="1"/>
    </xf>
    <xf numFmtId="0" fontId="12" fillId="19" borderId="3" xfId="0" applyFont="1" applyFill="1" applyBorder="1" applyAlignment="1">
      <alignment horizontal="center" wrapText="1"/>
    </xf>
    <xf numFmtId="0" fontId="12" fillId="8" borderId="14" xfId="3" applyFont="1" applyFill="1" applyAlignment="1">
      <alignment horizontal="center" wrapText="1"/>
    </xf>
    <xf numFmtId="0" fontId="12" fillId="20" borderId="3" xfId="0" applyFont="1" applyFill="1" applyBorder="1" applyAlignment="1">
      <alignment horizontal="center" wrapText="1"/>
    </xf>
    <xf numFmtId="170" fontId="2" fillId="0" borderId="3" xfId="0" quotePrefix="1" applyNumberFormat="1" applyFont="1" applyBorder="1" applyAlignment="1">
      <alignment horizontal="center" vertical="center"/>
    </xf>
    <xf numFmtId="0" fontId="23" fillId="0" borderId="0" xfId="0" applyFont="1"/>
    <xf numFmtId="169" fontId="2" fillId="8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2" fillId="6" borderId="3" xfId="0" applyFont="1" applyFill="1" applyBorder="1" applyAlignment="1">
      <alignment horizontal="center" vertical="center" wrapText="1"/>
    </xf>
    <xf numFmtId="0" fontId="12" fillId="21" borderId="3" xfId="0" applyFont="1" applyFill="1" applyBorder="1" applyAlignment="1">
      <alignment horizontal="center" wrapText="1"/>
    </xf>
    <xf numFmtId="0" fontId="2" fillId="22" borderId="1" xfId="0" applyFont="1" applyFill="1" applyBorder="1" applyAlignment="1">
      <alignment horizontal="center" vertical="center" wrapText="1"/>
    </xf>
    <xf numFmtId="168" fontId="2" fillId="23" borderId="9" xfId="0" applyNumberFormat="1" applyFont="1" applyFill="1" applyBorder="1" applyAlignment="1">
      <alignment horizontal="center" vertical="center"/>
    </xf>
    <xf numFmtId="0" fontId="2" fillId="24" borderId="7" xfId="0" applyFont="1" applyFill="1" applyBorder="1" applyAlignment="1">
      <alignment horizontal="center" vertical="center" wrapText="1"/>
    </xf>
    <xf numFmtId="168" fontId="2" fillId="25" borderId="9" xfId="0" applyNumberFormat="1" applyFont="1" applyFill="1" applyBorder="1" applyAlignment="1">
      <alignment horizontal="center" vertical="center"/>
    </xf>
    <xf numFmtId="0" fontId="12" fillId="18" borderId="16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68" fontId="2" fillId="27" borderId="9" xfId="0" applyNumberFormat="1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2" fillId="28" borderId="3" xfId="0" applyFont="1" applyFill="1" applyBorder="1" applyAlignment="1">
      <alignment horizontal="center" wrapText="1"/>
    </xf>
    <xf numFmtId="0" fontId="12" fillId="28" borderId="15" xfId="0" applyFont="1" applyFill="1" applyBorder="1" applyAlignment="1">
      <alignment horizontal="center" wrapText="1"/>
    </xf>
    <xf numFmtId="0" fontId="12" fillId="28" borderId="16" xfId="0" applyFont="1" applyFill="1" applyBorder="1" applyAlignment="1">
      <alignment horizontal="center" wrapText="1"/>
    </xf>
    <xf numFmtId="171" fontId="2" fillId="0" borderId="3" xfId="0" quotePrefix="1" applyNumberFormat="1" applyFont="1" applyBorder="1" applyAlignment="1">
      <alignment horizontal="center" vertical="center"/>
    </xf>
    <xf numFmtId="171" fontId="2" fillId="8" borderId="3" xfId="0" quotePrefix="1" applyNumberFormat="1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 wrapText="1"/>
    </xf>
    <xf numFmtId="0" fontId="2" fillId="29" borderId="5" xfId="0" applyFont="1" applyFill="1" applyBorder="1" applyAlignment="1">
      <alignment horizontal="center" vertical="center" wrapText="1"/>
    </xf>
    <xf numFmtId="0" fontId="2" fillId="29" borderId="3" xfId="0" applyFont="1" applyFill="1" applyBorder="1" applyAlignment="1">
      <alignment horizontal="center" vertical="center" wrapText="1"/>
    </xf>
    <xf numFmtId="0" fontId="2" fillId="29" borderId="7" xfId="0" applyFont="1" applyFill="1" applyBorder="1" applyAlignment="1">
      <alignment horizontal="center" vertical="center" wrapText="1"/>
    </xf>
    <xf numFmtId="17" fontId="12" fillId="8" borderId="3" xfId="0" applyNumberFormat="1" applyFont="1" applyFill="1" applyBorder="1" applyAlignment="1">
      <alignment horizontal="center" wrapText="1"/>
    </xf>
    <xf numFmtId="0" fontId="24" fillId="30" borderId="1" xfId="0" applyFont="1" applyFill="1" applyBorder="1" applyAlignment="1">
      <alignment wrapText="1"/>
    </xf>
    <xf numFmtId="0" fontId="25" fillId="30" borderId="1" xfId="0" applyFont="1" applyFill="1" applyBorder="1"/>
    <xf numFmtId="0" fontId="24" fillId="31" borderId="1" xfId="0" applyFont="1" applyFill="1" applyBorder="1"/>
    <xf numFmtId="0" fontId="24" fillId="32" borderId="1" xfId="0" applyFont="1" applyFill="1" applyBorder="1" applyAlignment="1">
      <alignment horizontal="center" vertical="center"/>
    </xf>
    <xf numFmtId="0" fontId="26" fillId="31" borderId="1" xfId="0" applyFont="1" applyFill="1" applyBorder="1"/>
    <xf numFmtId="0" fontId="27" fillId="13" borderId="1" xfId="0" applyFont="1" applyFill="1" applyBorder="1" applyAlignment="1">
      <alignment wrapText="1"/>
    </xf>
    <xf numFmtId="0" fontId="28" fillId="30" borderId="1" xfId="0" applyFont="1" applyFill="1" applyBorder="1"/>
    <xf numFmtId="0" fontId="26" fillId="13" borderId="1" xfId="0" applyFont="1" applyFill="1" applyBorder="1" applyAlignment="1">
      <alignment wrapText="1"/>
    </xf>
    <xf numFmtId="0" fontId="12" fillId="33" borderId="3" xfId="0" applyFont="1" applyFill="1" applyBorder="1" applyAlignment="1">
      <alignment horizontal="center" wrapText="1"/>
    </xf>
    <xf numFmtId="0" fontId="29" fillId="0" borderId="2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29" fillId="0" borderId="2" xfId="0" quotePrefix="1" applyFont="1" applyBorder="1" applyAlignment="1">
      <alignment horizontal="center" vertical="top"/>
    </xf>
  </cellXfs>
  <cellStyles count="4">
    <cellStyle name="Comma" xfId="1" builtinId="3"/>
    <cellStyle name="Currency" xfId="2" builtinId="4"/>
    <cellStyle name="Normal" xfId="0" builtinId="0"/>
    <cellStyle name="Note" xfId="3" builtinId="10"/>
  </cellStyles>
  <dxfs count="896"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2DC8FF"/>
          <bgColor rgb="FF2DC8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DC8FF"/>
          <bgColor rgb="FF2DC8FF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ont>
        <color rgb="FFFF00FF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B2" sqref="B2"/>
    </sheetView>
  </sheetViews>
  <sheetFormatPr defaultRowHeight="14.25" x14ac:dyDescent="0.2"/>
  <cols>
    <col min="1" max="1" width="13.25" bestFit="1" customWidth="1"/>
    <col min="2" max="3" width="12.125" bestFit="1" customWidth="1"/>
    <col min="4" max="7" width="13.25" bestFit="1" customWidth="1"/>
  </cols>
  <sheetData>
    <row r="1" spans="1:7" ht="15" x14ac:dyDescent="0.25">
      <c r="A1" s="10">
        <v>150000000</v>
      </c>
      <c r="B1" s="10">
        <v>90000000</v>
      </c>
      <c r="C1" s="10">
        <v>90000000</v>
      </c>
      <c r="D1" s="10">
        <v>100000000</v>
      </c>
      <c r="E1" s="10">
        <v>100000000</v>
      </c>
      <c r="F1" s="10">
        <v>120000000</v>
      </c>
      <c r="G1" s="10">
        <v>150000000</v>
      </c>
    </row>
    <row r="2" spans="1:7" x14ac:dyDescent="0.2">
      <c r="A2" s="11">
        <f>A1/6</f>
        <v>25000000</v>
      </c>
      <c r="B2" s="12"/>
      <c r="C2" s="12"/>
      <c r="D2" s="12"/>
      <c r="E2" s="4" t="s">
        <v>0</v>
      </c>
      <c r="F2" s="12">
        <f>F1/5</f>
        <v>24000000</v>
      </c>
      <c r="G2" s="11">
        <f>G1/6</f>
        <v>25000000</v>
      </c>
    </row>
    <row r="3" spans="1:7" x14ac:dyDescent="0.2">
      <c r="A3" s="11">
        <v>25000000</v>
      </c>
      <c r="B3" s="12">
        <f>B1/5</f>
        <v>18000000</v>
      </c>
      <c r="C3" s="12">
        <f>C1/3</f>
        <v>30000000</v>
      </c>
      <c r="D3" s="4" t="s">
        <v>0</v>
      </c>
      <c r="E3" s="12">
        <f>E1/4</f>
        <v>25000000</v>
      </c>
      <c r="F3" s="12">
        <v>24000000</v>
      </c>
      <c r="G3" s="11">
        <v>25000000</v>
      </c>
    </row>
    <row r="4" spans="1:7" x14ac:dyDescent="0.2">
      <c r="A4" s="11">
        <v>25000000</v>
      </c>
      <c r="B4" s="12">
        <v>18000000</v>
      </c>
      <c r="C4" s="12">
        <v>30000000</v>
      </c>
      <c r="D4" s="12">
        <f>D1/3</f>
        <v>33333333.333333332</v>
      </c>
      <c r="E4" s="4" t="s">
        <v>0</v>
      </c>
      <c r="F4" s="4" t="s">
        <v>0</v>
      </c>
      <c r="G4" s="11">
        <v>25000000</v>
      </c>
    </row>
    <row r="5" spans="1:7" x14ac:dyDescent="0.2">
      <c r="A5" s="11">
        <v>25000000</v>
      </c>
      <c r="B5" s="12">
        <v>18000000</v>
      </c>
      <c r="C5" s="12">
        <v>30000000</v>
      </c>
      <c r="D5" s="12" t="s">
        <v>0</v>
      </c>
      <c r="E5" s="12">
        <v>25000000</v>
      </c>
      <c r="F5" s="12">
        <v>24000000</v>
      </c>
      <c r="G5" s="11">
        <v>25000000</v>
      </c>
    </row>
    <row r="6" spans="1:7" x14ac:dyDescent="0.2">
      <c r="A6" s="11">
        <v>25000000</v>
      </c>
      <c r="B6" s="12">
        <v>18000000</v>
      </c>
      <c r="C6" s="4" t="s">
        <v>0</v>
      </c>
      <c r="D6" s="12">
        <v>33333333.333333332</v>
      </c>
      <c r="E6" s="12">
        <v>25000000</v>
      </c>
      <c r="F6" s="12">
        <v>24000000</v>
      </c>
      <c r="G6" s="11">
        <v>25000000</v>
      </c>
    </row>
    <row r="7" spans="1:7" x14ac:dyDescent="0.2">
      <c r="A7" s="11">
        <v>25000000</v>
      </c>
      <c r="B7" s="12">
        <v>18000000</v>
      </c>
      <c r="C7" s="4" t="s">
        <v>0</v>
      </c>
      <c r="D7" s="12">
        <v>33333333.333333332</v>
      </c>
      <c r="E7" s="12">
        <v>25000000</v>
      </c>
      <c r="F7" s="12">
        <v>24000000</v>
      </c>
      <c r="G7" s="11">
        <v>25000000</v>
      </c>
    </row>
  </sheetData>
  <conditionalFormatting sqref="A3:B7">
    <cfRule type="cellIs" dxfId="895" priority="65" operator="equal">
      <formula>"OFF"</formula>
    </cfRule>
    <cfRule type="cellIs" dxfId="894" priority="66" stopIfTrue="1" operator="equal">
      <formula>"CL"</formula>
    </cfRule>
    <cfRule type="cellIs" dxfId="893" priority="67" stopIfTrue="1" operator="equal">
      <formula>"EL"</formula>
    </cfRule>
    <cfRule type="cellIs" dxfId="892" priority="68" stopIfTrue="1" operator="equal">
      <formula>"UL"</formula>
    </cfRule>
    <cfRule type="containsText" dxfId="891" priority="69" operator="containsText" text="AL">
      <formula>NOT(ISERROR(SEARCH(("AL"),(A3))))</formula>
    </cfRule>
    <cfRule type="containsText" dxfId="890" priority="70" operator="containsText" text="OFF">
      <formula>NOT(ISERROR(SEARCH(("OFF"),(A3))))</formula>
    </cfRule>
  </conditionalFormatting>
  <conditionalFormatting sqref="A2:E2">
    <cfRule type="cellIs" dxfId="889" priority="396" operator="equal">
      <formula>"OFF"</formula>
    </cfRule>
    <cfRule type="containsText" dxfId="888" priority="401" operator="containsText" text="OFF">
      <formula>NOT(ISERROR(SEARCH(("OFF"),(A2))))</formula>
    </cfRule>
    <cfRule type="containsText" dxfId="887" priority="400" operator="containsText" text="AL">
      <formula>NOT(ISERROR(SEARCH(("AL"),(A2))))</formula>
    </cfRule>
    <cfRule type="cellIs" dxfId="886" priority="399" stopIfTrue="1" operator="equal">
      <formula>"UL"</formula>
    </cfRule>
    <cfRule type="cellIs" dxfId="885" priority="398" stopIfTrue="1" operator="equal">
      <formula>"EL"</formula>
    </cfRule>
    <cfRule type="cellIs" dxfId="884" priority="397" stopIfTrue="1" operator="equal">
      <formula>"CL"</formula>
    </cfRule>
  </conditionalFormatting>
  <conditionalFormatting sqref="C3:C5">
    <cfRule type="containsText" dxfId="883" priority="94" operator="containsText" text="OFF">
      <formula>NOT(ISERROR(SEARCH(("OFF"),(C3))))</formula>
    </cfRule>
    <cfRule type="cellIs" dxfId="882" priority="89" operator="equal">
      <formula>"OFF"</formula>
    </cfRule>
    <cfRule type="cellIs" dxfId="881" priority="90" stopIfTrue="1" operator="equal">
      <formula>"CL"</formula>
    </cfRule>
    <cfRule type="cellIs" dxfId="880" priority="91" stopIfTrue="1" operator="equal">
      <formula>"EL"</formula>
    </cfRule>
    <cfRule type="cellIs" dxfId="879" priority="92" stopIfTrue="1" operator="equal">
      <formula>"UL"</formula>
    </cfRule>
    <cfRule type="containsText" dxfId="878" priority="93" operator="containsText" text="AL">
      <formula>NOT(ISERROR(SEARCH(("AL"),(C3))))</formula>
    </cfRule>
  </conditionalFormatting>
  <conditionalFormatting sqref="C6">
    <cfRule type="cellIs" dxfId="877" priority="837" stopIfTrue="1" operator="equal">
      <formula>"UL"</formula>
    </cfRule>
    <cfRule type="cellIs" dxfId="876" priority="835" stopIfTrue="1" operator="equal">
      <formula>"CL"</formula>
    </cfRule>
    <cfRule type="containsText" dxfId="875" priority="834" operator="containsText" text="OFF">
      <formula>NOT(ISERROR(SEARCH(("OFF"),(C6))))</formula>
    </cfRule>
    <cfRule type="containsText" dxfId="874" priority="833" operator="containsText" text="AL">
      <formula>NOT(ISERROR(SEARCH(("AL"),(C6))))</formula>
    </cfRule>
    <cfRule type="cellIs" dxfId="873" priority="832" stopIfTrue="1" operator="equal">
      <formula>"UL"</formula>
    </cfRule>
    <cfRule type="cellIs" dxfId="872" priority="831" stopIfTrue="1" operator="equal">
      <formula>"EL"</formula>
    </cfRule>
    <cfRule type="cellIs" dxfId="871" priority="830" stopIfTrue="1" operator="equal">
      <formula>"CL"</formula>
    </cfRule>
    <cfRule type="containsText" dxfId="870" priority="829" operator="containsText" text="OFF">
      <formula>NOT(ISERROR(SEARCH(("OFF"),(C6))))</formula>
    </cfRule>
    <cfRule type="containsText" dxfId="869" priority="828" operator="containsText" text="AL">
      <formula>NOT(ISERROR(SEARCH(("AL"),(C6))))</formula>
    </cfRule>
    <cfRule type="cellIs" dxfId="868" priority="827" operator="equal">
      <formula>"OFF"</formula>
    </cfRule>
    <cfRule type="containsText" dxfId="867" priority="826" operator="containsText" text="OFF">
      <formula>NOT(ISERROR(SEARCH(("OFF"),(C6))))</formula>
    </cfRule>
    <cfRule type="cellIs" dxfId="866" priority="814" stopIfTrue="1" operator="equal">
      <formula>"EL"</formula>
    </cfRule>
    <cfRule type="containsText" dxfId="865" priority="825" operator="containsText" text="AL">
      <formula>NOT(ISERROR(SEARCH(("AL"),(C6))))</formula>
    </cfRule>
    <cfRule type="cellIs" dxfId="864" priority="824" stopIfTrue="1" operator="equal">
      <formula>"UL"</formula>
    </cfRule>
    <cfRule type="cellIs" dxfId="863" priority="823" stopIfTrue="1" operator="equal">
      <formula>"EL"</formula>
    </cfRule>
    <cfRule type="cellIs" dxfId="862" priority="822" stopIfTrue="1" operator="equal">
      <formula>"CL"</formula>
    </cfRule>
    <cfRule type="containsText" dxfId="861" priority="821" operator="containsText" text="OFF">
      <formula>NOT(ISERROR(SEARCH(("OFF"),(C6))))</formula>
    </cfRule>
    <cfRule type="containsText" dxfId="860" priority="820" operator="containsText" text="AL">
      <formula>NOT(ISERROR(SEARCH(("AL"),(C6))))</formula>
    </cfRule>
    <cfRule type="cellIs" dxfId="859" priority="819" stopIfTrue="1" operator="equal">
      <formula>"UL"</formula>
    </cfRule>
    <cfRule type="cellIs" dxfId="858" priority="818" stopIfTrue="1" operator="equal">
      <formula>"EL"</formula>
    </cfRule>
    <cfRule type="cellIs" dxfId="857" priority="796" stopIfTrue="1" operator="equal">
      <formula>"UL"</formula>
    </cfRule>
    <cfRule type="cellIs" dxfId="856" priority="815" stopIfTrue="1" operator="equal">
      <formula>"UL"</formula>
    </cfRule>
    <cfRule type="cellIs" dxfId="855" priority="813" stopIfTrue="1" operator="equal">
      <formula>"CL"</formula>
    </cfRule>
    <cfRule type="cellIs" dxfId="854" priority="812" stopIfTrue="1" operator="equal">
      <formula>"UL"</formula>
    </cfRule>
    <cfRule type="cellIs" dxfId="853" priority="811" stopIfTrue="1" operator="equal">
      <formula>"EL"</formula>
    </cfRule>
    <cfRule type="cellIs" dxfId="852" priority="810" stopIfTrue="1" operator="equal">
      <formula>"CL"</formula>
    </cfRule>
    <cfRule type="cellIs" dxfId="851" priority="809" stopIfTrue="1" operator="equal">
      <formula>"UL"</formula>
    </cfRule>
    <cfRule type="cellIs" dxfId="850" priority="808" stopIfTrue="1" operator="equal">
      <formula>"EL"</formula>
    </cfRule>
    <cfRule type="cellIs" dxfId="849" priority="807" stopIfTrue="1" operator="equal">
      <formula>"CL"</formula>
    </cfRule>
    <cfRule type="containsText" dxfId="848" priority="806" operator="containsText" text="OFF">
      <formula>NOT(ISERROR(SEARCH(("OFF"),(C6))))</formula>
    </cfRule>
    <cfRule type="containsText" dxfId="847" priority="805" operator="containsText" text="AL">
      <formula>NOT(ISERROR(SEARCH(("AL"),(C6))))</formula>
    </cfRule>
    <cfRule type="cellIs" dxfId="846" priority="804" stopIfTrue="1" operator="equal">
      <formula>"UL"</formula>
    </cfRule>
    <cfRule type="cellIs" dxfId="845" priority="803" stopIfTrue="1" operator="equal">
      <formula>"EL"</formula>
    </cfRule>
    <cfRule type="cellIs" dxfId="844" priority="802" stopIfTrue="1" operator="equal">
      <formula>"CL"</formula>
    </cfRule>
    <cfRule type="containsText" dxfId="843" priority="801" operator="containsText" text="OFF">
      <formula>NOT(ISERROR(SEARCH(("OFF"),(C6))))</formula>
    </cfRule>
    <cfRule type="containsText" dxfId="842" priority="800" operator="containsText" text="AL">
      <formula>NOT(ISERROR(SEARCH(("AL"),(C6))))</formula>
    </cfRule>
    <cfRule type="cellIs" dxfId="841" priority="799" stopIfTrue="1" operator="equal">
      <formula>"UL"</formula>
    </cfRule>
    <cfRule type="cellIs" dxfId="840" priority="798" stopIfTrue="1" operator="equal">
      <formula>"EL"</formula>
    </cfRule>
    <cfRule type="cellIs" dxfId="839" priority="797" stopIfTrue="1" operator="equal">
      <formula>"CL"</formula>
    </cfRule>
    <cfRule type="cellIs" dxfId="838" priority="795" stopIfTrue="1" operator="equal">
      <formula>"EL"</formula>
    </cfRule>
    <cfRule type="cellIs" dxfId="837" priority="794" stopIfTrue="1" operator="equal">
      <formula>"CL"</formula>
    </cfRule>
    <cfRule type="cellIs" dxfId="836" priority="836" stopIfTrue="1" operator="equal">
      <formula>"EL"</formula>
    </cfRule>
    <cfRule type="cellIs" dxfId="835" priority="816" operator="equal">
      <formula>"OFF"</formula>
    </cfRule>
    <cfRule type="cellIs" dxfId="834" priority="817" stopIfTrue="1" operator="equal">
      <formula>"CL"</formula>
    </cfRule>
    <cfRule type="containsText" dxfId="833" priority="844" operator="containsText" text="OFF">
      <formula>NOT(ISERROR(SEARCH(("OFF"),(C6))))</formula>
    </cfRule>
    <cfRule type="containsText" dxfId="832" priority="843" operator="containsText" text="AL">
      <formula>NOT(ISERROR(SEARCH(("AL"),(C6))))</formula>
    </cfRule>
    <cfRule type="containsText" dxfId="831" priority="792" operator="containsText" text="AL">
      <formula>NOT(ISERROR(SEARCH(("AL"),(C6))))</formula>
    </cfRule>
    <cfRule type="containsText" dxfId="830" priority="791" operator="containsText" text="OFF">
      <formula>NOT(ISERROR(SEARCH(("OFF"),(C6))))</formula>
    </cfRule>
    <cfRule type="containsText" dxfId="829" priority="790" operator="containsText" text="AL">
      <formula>NOT(ISERROR(SEARCH(("AL"),(C6))))</formula>
    </cfRule>
    <cfRule type="cellIs" dxfId="828" priority="842" stopIfTrue="1" operator="equal">
      <formula>"UL"</formula>
    </cfRule>
    <cfRule type="cellIs" dxfId="827" priority="841" stopIfTrue="1" operator="equal">
      <formula>"EL"</formula>
    </cfRule>
    <cfRule type="cellIs" dxfId="826" priority="840" stopIfTrue="1" operator="equal">
      <formula>"CL"</formula>
    </cfRule>
    <cfRule type="containsText" dxfId="825" priority="839" operator="containsText" text="OFF">
      <formula>NOT(ISERROR(SEARCH(("OFF"),(C6))))</formula>
    </cfRule>
    <cfRule type="containsText" dxfId="824" priority="838" operator="containsText" text="AL">
      <formula>NOT(ISERROR(SEARCH(("AL"),(C6))))</formula>
    </cfRule>
    <cfRule type="containsText" dxfId="823" priority="793" operator="containsText" text="OFF">
      <formula>NOT(ISERROR(SEARCH(("OFF"),(C6))))</formula>
    </cfRule>
  </conditionalFormatting>
  <conditionalFormatting sqref="C6:C7">
    <cfRule type="cellIs" dxfId="822" priority="394" stopIfTrue="1" operator="equal">
      <formula>"EL"</formula>
    </cfRule>
    <cfRule type="cellIs" dxfId="821" priority="393" stopIfTrue="1" operator="equal">
      <formula>"CL"</formula>
    </cfRule>
    <cfRule type="cellIs" dxfId="820" priority="395" stopIfTrue="1" operator="equal">
      <formula>"UL"</formula>
    </cfRule>
  </conditionalFormatting>
  <conditionalFormatting sqref="C7">
    <cfRule type="cellIs" dxfId="819" priority="309" stopIfTrue="1" operator="equal">
      <formula>"EL"</formula>
    </cfRule>
    <cfRule type="cellIs" dxfId="818" priority="385" operator="equal">
      <formula>"OFF"</formula>
    </cfRule>
    <cfRule type="containsText" dxfId="817" priority="386" operator="containsText" text="AL">
      <formula>NOT(ISERROR(SEARCH(("AL"),(C7))))</formula>
    </cfRule>
    <cfRule type="containsText" dxfId="816" priority="387" operator="containsText" text="OFF">
      <formula>NOT(ISERROR(SEARCH(("OFF"),(C7))))</formula>
    </cfRule>
    <cfRule type="cellIs" dxfId="815" priority="388" stopIfTrue="1" operator="equal">
      <formula>"CL"</formula>
    </cfRule>
    <cfRule type="cellIs" dxfId="814" priority="389" stopIfTrue="1" operator="equal">
      <formula>"EL"</formula>
    </cfRule>
    <cfRule type="cellIs" dxfId="813" priority="390" stopIfTrue="1" operator="equal">
      <formula>"UL"</formula>
    </cfRule>
    <cfRule type="containsText" dxfId="812" priority="391" operator="containsText" text="AL">
      <formula>NOT(ISERROR(SEARCH(("AL"),(C7))))</formula>
    </cfRule>
    <cfRule type="containsText" dxfId="811" priority="392" operator="containsText" text="OFF">
      <formula>NOT(ISERROR(SEARCH(("OFF"),(C7))))</formula>
    </cfRule>
    <cfRule type="cellIs" dxfId="810" priority="301" stopIfTrue="1" operator="equal">
      <formula>"CL"</formula>
    </cfRule>
    <cfRule type="cellIs" dxfId="809" priority="302" stopIfTrue="1" operator="equal">
      <formula>"EL"</formula>
    </cfRule>
    <cfRule type="cellIs" dxfId="808" priority="303" stopIfTrue="1" operator="equal">
      <formula>"UL"</formula>
    </cfRule>
    <cfRule type="containsText" dxfId="807" priority="304" operator="containsText" text="AL">
      <formula>NOT(ISERROR(SEARCH(("AL"),(C7))))</formula>
    </cfRule>
    <cfRule type="containsText" dxfId="806" priority="305" operator="containsText" text="OFF">
      <formula>NOT(ISERROR(SEARCH(("OFF"),(C7))))</formula>
    </cfRule>
    <cfRule type="containsText" dxfId="805" priority="306" operator="containsText" text="AL">
      <formula>NOT(ISERROR(SEARCH(("AL"),(C7))))</formula>
    </cfRule>
    <cfRule type="containsText" dxfId="804" priority="307" operator="containsText" text="OFF">
      <formula>NOT(ISERROR(SEARCH(("OFF"),(C7))))</formula>
    </cfRule>
    <cfRule type="cellIs" dxfId="803" priority="308" stopIfTrue="1" operator="equal">
      <formula>"CL"</formula>
    </cfRule>
    <cfRule type="cellIs" dxfId="802" priority="310" stopIfTrue="1" operator="equal">
      <formula>"UL"</formula>
    </cfRule>
    <cfRule type="cellIs" dxfId="801" priority="311" stopIfTrue="1" operator="equal">
      <formula>"CL"</formula>
    </cfRule>
    <cfRule type="cellIs" dxfId="800" priority="312" stopIfTrue="1" operator="equal">
      <formula>"EL"</formula>
    </cfRule>
    <cfRule type="cellIs" dxfId="799" priority="313" stopIfTrue="1" operator="equal">
      <formula>"UL"</formula>
    </cfRule>
    <cfRule type="containsText" dxfId="798" priority="314" operator="containsText" text="AL">
      <formula>NOT(ISERROR(SEARCH(("AL"),(C7))))</formula>
    </cfRule>
    <cfRule type="containsText" dxfId="797" priority="315" operator="containsText" text="OFF">
      <formula>NOT(ISERROR(SEARCH(("OFF"),(C7))))</formula>
    </cfRule>
    <cfRule type="cellIs" dxfId="796" priority="316" stopIfTrue="1" operator="equal">
      <formula>"CL"</formula>
    </cfRule>
    <cfRule type="cellIs" dxfId="795" priority="317" stopIfTrue="1" operator="equal">
      <formula>"EL"</formula>
    </cfRule>
    <cfRule type="cellIs" dxfId="794" priority="318" stopIfTrue="1" operator="equal">
      <formula>"UL"</formula>
    </cfRule>
    <cfRule type="containsText" dxfId="793" priority="319" operator="containsText" text="AL">
      <formula>NOT(ISERROR(SEARCH(("AL"),(C7))))</formula>
    </cfRule>
    <cfRule type="containsText" dxfId="792" priority="320" operator="containsText" text="OFF">
      <formula>NOT(ISERROR(SEARCH(("OFF"),(C7))))</formula>
    </cfRule>
    <cfRule type="cellIs" dxfId="791" priority="321" stopIfTrue="1" operator="equal">
      <formula>"CL"</formula>
    </cfRule>
    <cfRule type="cellIs" dxfId="790" priority="322" stopIfTrue="1" operator="equal">
      <formula>"EL"</formula>
    </cfRule>
    <cfRule type="cellIs" dxfId="789" priority="323" stopIfTrue="1" operator="equal">
      <formula>"UL"</formula>
    </cfRule>
    <cfRule type="cellIs" dxfId="788" priority="324" stopIfTrue="1" operator="equal">
      <formula>"CL"</formula>
    </cfRule>
    <cfRule type="cellIs" dxfId="787" priority="325" stopIfTrue="1" operator="equal">
      <formula>"EL"</formula>
    </cfRule>
    <cfRule type="cellIs" dxfId="786" priority="326" stopIfTrue="1" operator="equal">
      <formula>"UL"</formula>
    </cfRule>
    <cfRule type="cellIs" dxfId="785" priority="327" stopIfTrue="1" operator="equal">
      <formula>"CL"</formula>
    </cfRule>
    <cfRule type="cellIs" dxfId="784" priority="328" stopIfTrue="1" operator="equal">
      <formula>"EL"</formula>
    </cfRule>
    <cfRule type="cellIs" dxfId="783" priority="329" stopIfTrue="1" operator="equal">
      <formula>"UL"</formula>
    </cfRule>
    <cfRule type="cellIs" dxfId="782" priority="330" operator="equal">
      <formula>"OFF"</formula>
    </cfRule>
    <cfRule type="cellIs" dxfId="781" priority="331" stopIfTrue="1" operator="equal">
      <formula>"CL"</formula>
    </cfRule>
    <cfRule type="cellIs" dxfId="780" priority="332" stopIfTrue="1" operator="equal">
      <formula>"EL"</formula>
    </cfRule>
    <cfRule type="cellIs" dxfId="779" priority="333" stopIfTrue="1" operator="equal">
      <formula>"UL"</formula>
    </cfRule>
    <cfRule type="containsText" dxfId="778" priority="334" operator="containsText" text="AL">
      <formula>NOT(ISERROR(SEARCH(("AL"),(C7))))</formula>
    </cfRule>
    <cfRule type="containsText" dxfId="777" priority="335" operator="containsText" text="OFF">
      <formula>NOT(ISERROR(SEARCH(("OFF"),(C7))))</formula>
    </cfRule>
    <cfRule type="cellIs" dxfId="776" priority="336" stopIfTrue="1" operator="equal">
      <formula>"CL"</formula>
    </cfRule>
    <cfRule type="cellIs" dxfId="775" priority="337" stopIfTrue="1" operator="equal">
      <formula>"EL"</formula>
    </cfRule>
    <cfRule type="cellIs" dxfId="774" priority="338" stopIfTrue="1" operator="equal">
      <formula>"UL"</formula>
    </cfRule>
    <cfRule type="containsText" dxfId="773" priority="339" operator="containsText" text="AL">
      <formula>NOT(ISERROR(SEARCH(("AL"),(C7))))</formula>
    </cfRule>
    <cfRule type="containsText" dxfId="772" priority="340" operator="containsText" text="OFF">
      <formula>NOT(ISERROR(SEARCH(("OFF"),(C7))))</formula>
    </cfRule>
    <cfRule type="cellIs" dxfId="771" priority="341" operator="equal">
      <formula>"OFF"</formula>
    </cfRule>
    <cfRule type="containsText" dxfId="770" priority="342" operator="containsText" text="AL">
      <formula>NOT(ISERROR(SEARCH(("AL"),(C7))))</formula>
    </cfRule>
    <cfRule type="containsText" dxfId="769" priority="343" operator="containsText" text="OFF">
      <formula>NOT(ISERROR(SEARCH(("OFF"),(C7))))</formula>
    </cfRule>
    <cfRule type="cellIs" dxfId="768" priority="344" stopIfTrue="1" operator="equal">
      <formula>"CL"</formula>
    </cfRule>
    <cfRule type="cellIs" dxfId="767" priority="345" stopIfTrue="1" operator="equal">
      <formula>"EL"</formula>
    </cfRule>
    <cfRule type="cellIs" dxfId="766" priority="346" stopIfTrue="1" operator="equal">
      <formula>"UL"</formula>
    </cfRule>
    <cfRule type="containsText" dxfId="765" priority="347" operator="containsText" text="AL">
      <formula>NOT(ISERROR(SEARCH(("AL"),(C7))))</formula>
    </cfRule>
    <cfRule type="containsText" dxfId="764" priority="348" operator="containsText" text="OFF">
      <formula>NOT(ISERROR(SEARCH(("OFF"),(C7))))</formula>
    </cfRule>
    <cfRule type="cellIs" dxfId="763" priority="349" stopIfTrue="1" operator="equal">
      <formula>"CL"</formula>
    </cfRule>
    <cfRule type="cellIs" dxfId="762" priority="350" stopIfTrue="1" operator="equal">
      <formula>"EL"</formula>
    </cfRule>
    <cfRule type="cellIs" dxfId="761" priority="351" stopIfTrue="1" operator="equal">
      <formula>"UL"</formula>
    </cfRule>
    <cfRule type="containsText" dxfId="760" priority="352" operator="containsText" text="AL">
      <formula>NOT(ISERROR(SEARCH(("AL"),(C7))))</formula>
    </cfRule>
    <cfRule type="containsText" dxfId="759" priority="353" operator="containsText" text="OFF">
      <formula>NOT(ISERROR(SEARCH(("OFF"),(C7))))</formula>
    </cfRule>
    <cfRule type="cellIs" dxfId="758" priority="354" stopIfTrue="1" operator="equal">
      <formula>"CL"</formula>
    </cfRule>
    <cfRule type="cellIs" dxfId="757" priority="355" stopIfTrue="1" operator="equal">
      <formula>"EL"</formula>
    </cfRule>
    <cfRule type="cellIs" dxfId="756" priority="356" stopIfTrue="1" operator="equal">
      <formula>"UL"</formula>
    </cfRule>
    <cfRule type="containsText" dxfId="755" priority="357" operator="containsText" text="AL">
      <formula>NOT(ISERROR(SEARCH(("AL"),(C7))))</formula>
    </cfRule>
    <cfRule type="containsText" dxfId="754" priority="358" operator="containsText" text="OFF">
      <formula>NOT(ISERROR(SEARCH(("OFF"),(C7))))</formula>
    </cfRule>
    <cfRule type="cellIs" dxfId="753" priority="359" operator="equal">
      <formula>"OFF"</formula>
    </cfRule>
    <cfRule type="cellIs" dxfId="752" priority="360" stopIfTrue="1" operator="equal">
      <formula>"CL"</formula>
    </cfRule>
    <cfRule type="cellIs" dxfId="751" priority="361" stopIfTrue="1" operator="equal">
      <formula>"EL"</formula>
    </cfRule>
    <cfRule type="cellIs" dxfId="750" priority="362" stopIfTrue="1" operator="equal">
      <formula>"UL"</formula>
    </cfRule>
    <cfRule type="containsText" dxfId="749" priority="363" operator="containsText" text="AL">
      <formula>NOT(ISERROR(SEARCH(("AL"),(C7))))</formula>
    </cfRule>
    <cfRule type="containsText" dxfId="748" priority="364" operator="containsText" text="OFF">
      <formula>NOT(ISERROR(SEARCH(("OFF"),(C7))))</formula>
    </cfRule>
    <cfRule type="cellIs" dxfId="747" priority="365" stopIfTrue="1" operator="equal">
      <formula>"CL"</formula>
    </cfRule>
    <cfRule type="cellIs" dxfId="746" priority="366" stopIfTrue="1" operator="equal">
      <formula>"EL"</formula>
    </cfRule>
    <cfRule type="cellIs" dxfId="745" priority="367" stopIfTrue="1" operator="equal">
      <formula>"UL"</formula>
    </cfRule>
    <cfRule type="containsText" dxfId="744" priority="368" operator="containsText" text="AL">
      <formula>NOT(ISERROR(SEARCH(("AL"),(C7))))</formula>
    </cfRule>
    <cfRule type="containsText" dxfId="743" priority="369" operator="containsText" text="OFF">
      <formula>NOT(ISERROR(SEARCH(("OFF"),(C7))))</formula>
    </cfRule>
    <cfRule type="cellIs" dxfId="742" priority="370" stopIfTrue="1" operator="equal">
      <formula>"CL"</formula>
    </cfRule>
    <cfRule type="cellIs" dxfId="741" priority="371" stopIfTrue="1" operator="equal">
      <formula>"EL"</formula>
    </cfRule>
    <cfRule type="cellIs" dxfId="740" priority="372" stopIfTrue="1" operator="equal">
      <formula>"UL"</formula>
    </cfRule>
    <cfRule type="containsText" dxfId="739" priority="373" operator="containsText" text="AL">
      <formula>NOT(ISERROR(SEARCH(("AL"),(C7))))</formula>
    </cfRule>
    <cfRule type="containsText" dxfId="738" priority="374" operator="containsText" text="OFF">
      <formula>NOT(ISERROR(SEARCH(("OFF"),(C7))))</formula>
    </cfRule>
    <cfRule type="cellIs" dxfId="737" priority="375" stopIfTrue="1" operator="equal">
      <formula>"CL"</formula>
    </cfRule>
    <cfRule type="cellIs" dxfId="736" priority="376" stopIfTrue="1" operator="equal">
      <formula>"EL"</formula>
    </cfRule>
    <cfRule type="cellIs" dxfId="735" priority="377" stopIfTrue="1" operator="equal">
      <formula>"UL"</formula>
    </cfRule>
    <cfRule type="containsText" dxfId="734" priority="378" operator="containsText" text="AL">
      <formula>NOT(ISERROR(SEARCH(("AL"),(C7))))</formula>
    </cfRule>
    <cfRule type="containsText" dxfId="733" priority="379" operator="containsText" text="OFF">
      <formula>NOT(ISERROR(SEARCH(("OFF"),(C7))))</formula>
    </cfRule>
    <cfRule type="cellIs" dxfId="732" priority="380" stopIfTrue="1" operator="equal">
      <formula>"CL"</formula>
    </cfRule>
    <cfRule type="cellIs" dxfId="731" priority="381" stopIfTrue="1" operator="equal">
      <formula>"EL"</formula>
    </cfRule>
    <cfRule type="cellIs" dxfId="730" priority="382" stopIfTrue="1" operator="equal">
      <formula>"UL"</formula>
    </cfRule>
    <cfRule type="containsText" dxfId="729" priority="383" operator="containsText" text="AL">
      <formula>NOT(ISERROR(SEARCH(("AL"),(C7))))</formula>
    </cfRule>
    <cfRule type="containsText" dxfId="728" priority="384" operator="containsText" text="OFF">
      <formula>NOT(ISERROR(SEARCH(("OFF"),(C7))))</formula>
    </cfRule>
  </conditionalFormatting>
  <conditionalFormatting sqref="D4:D7">
    <cfRule type="cellIs" dxfId="727" priority="79" stopIfTrue="1" operator="equal">
      <formula>"EL"</formula>
    </cfRule>
    <cfRule type="cellIs" dxfId="726" priority="78" stopIfTrue="1" operator="equal">
      <formula>"CL"</formula>
    </cfRule>
    <cfRule type="cellIs" dxfId="725" priority="77" operator="equal">
      <formula>"OFF"</formula>
    </cfRule>
    <cfRule type="containsText" dxfId="724" priority="81" operator="containsText" text="AL">
      <formula>NOT(ISERROR(SEARCH(("AL"),(D4))))</formula>
    </cfRule>
    <cfRule type="cellIs" dxfId="723" priority="80" stopIfTrue="1" operator="equal">
      <formula>"UL"</formula>
    </cfRule>
  </conditionalFormatting>
  <conditionalFormatting sqref="D5:D7">
    <cfRule type="containsText" dxfId="722" priority="82" operator="containsText" text="OFF">
      <formula>NOT(ISERROR(SEARCH(("OFF"),(D5))))</formula>
    </cfRule>
  </conditionalFormatting>
  <conditionalFormatting sqref="D3:E3">
    <cfRule type="cellIs" dxfId="721" priority="527" stopIfTrue="1" operator="equal">
      <formula>"CL"</formula>
    </cfRule>
    <cfRule type="cellIs" dxfId="720" priority="528" stopIfTrue="1" operator="equal">
      <formula>"EL"</formula>
    </cfRule>
    <cfRule type="cellIs" dxfId="719" priority="526" operator="equal">
      <formula>"OFF"</formula>
    </cfRule>
    <cfRule type="containsText" dxfId="718" priority="530" operator="containsText" text="AL">
      <formula>NOT(ISERROR(SEARCH(("AL"),(D3))))</formula>
    </cfRule>
    <cfRule type="containsText" dxfId="717" priority="531" operator="containsText" text="OFF">
      <formula>NOT(ISERROR(SEARCH(("OFF"),(D3))))</formula>
    </cfRule>
    <cfRule type="cellIs" dxfId="716" priority="529" stopIfTrue="1" operator="equal">
      <formula>"UL"</formula>
    </cfRule>
  </conditionalFormatting>
  <conditionalFormatting sqref="D4:E4">
    <cfRule type="containsText" dxfId="715" priority="88" operator="containsText" text="OFF">
      <formula>NOT(ISERROR(SEARCH(("OFF"),(D4))))</formula>
    </cfRule>
  </conditionalFormatting>
  <conditionalFormatting sqref="E4">
    <cfRule type="cellIs" dxfId="714" priority="577" stopIfTrue="1" operator="equal">
      <formula>"UL"</formula>
    </cfRule>
    <cfRule type="cellIs" dxfId="713" priority="587" stopIfTrue="1" operator="equal">
      <formula>"UL"</formula>
    </cfRule>
    <cfRule type="cellIs" dxfId="712" priority="586" stopIfTrue="1" operator="equal">
      <formula>"EL"</formula>
    </cfRule>
    <cfRule type="cellIs" dxfId="711" priority="585" stopIfTrue="1" operator="equal">
      <formula>"CL"</formula>
    </cfRule>
    <cfRule type="containsText" dxfId="710" priority="584" operator="containsText" text="OFF">
      <formula>NOT(ISERROR(SEARCH(("OFF"),(E4))))</formula>
    </cfRule>
    <cfRule type="containsText" dxfId="709" priority="583" operator="containsText" text="AL">
      <formula>NOT(ISERROR(SEARCH(("AL"),(E4))))</formula>
    </cfRule>
    <cfRule type="cellIs" dxfId="708" priority="582" stopIfTrue="1" operator="equal">
      <formula>"UL"</formula>
    </cfRule>
    <cfRule type="containsText" dxfId="707" priority="546" operator="containsText" text="OFF">
      <formula>NOT(ISERROR(SEARCH(("OFF"),(E4))))</formula>
    </cfRule>
    <cfRule type="containsText" dxfId="706" priority="578" operator="containsText" text="AL">
      <formula>NOT(ISERROR(SEARCH(("AL"),(E4))))</formula>
    </cfRule>
    <cfRule type="containsText" dxfId="705" priority="579" operator="containsText" text="OFF">
      <formula>NOT(ISERROR(SEARCH(("OFF"),(E4))))</formula>
    </cfRule>
    <cfRule type="cellIs" dxfId="704" priority="580" stopIfTrue="1" operator="equal">
      <formula>"CL"</formula>
    </cfRule>
    <cfRule type="cellIs" dxfId="703" priority="581" stopIfTrue="1" operator="equal">
      <formula>"EL"</formula>
    </cfRule>
    <cfRule type="cellIs" dxfId="702" priority="562" stopIfTrue="1" operator="equal">
      <formula>"CL"</formula>
    </cfRule>
    <cfRule type="containsText" dxfId="701" priority="537" operator="containsText" text="AL">
      <formula>NOT(ISERROR(SEARCH(("AL"),(E4))))</formula>
    </cfRule>
    <cfRule type="containsText" dxfId="700" priority="538" operator="containsText" text="OFF">
      <formula>NOT(ISERROR(SEARCH(("OFF"),(E4))))</formula>
    </cfRule>
    <cfRule type="cellIs" dxfId="699" priority="539" stopIfTrue="1" operator="equal">
      <formula>"CL"</formula>
    </cfRule>
    <cfRule type="cellIs" dxfId="698" priority="540" stopIfTrue="1" operator="equal">
      <formula>"EL"</formula>
    </cfRule>
    <cfRule type="cellIs" dxfId="697" priority="541" stopIfTrue="1" operator="equal">
      <formula>"UL"</formula>
    </cfRule>
    <cfRule type="cellIs" dxfId="696" priority="542" stopIfTrue="1" operator="equal">
      <formula>"CL"</formula>
    </cfRule>
    <cfRule type="cellIs" dxfId="695" priority="543" stopIfTrue="1" operator="equal">
      <formula>"EL"</formula>
    </cfRule>
    <cfRule type="cellIs" dxfId="694" priority="544" stopIfTrue="1" operator="equal">
      <formula>"UL"</formula>
    </cfRule>
    <cfRule type="containsText" dxfId="693" priority="545" operator="containsText" text="AL">
      <formula>NOT(ISERROR(SEARCH(("AL"),(E4))))</formula>
    </cfRule>
    <cfRule type="containsText" dxfId="692" priority="573" operator="containsText" text="AL">
      <formula>NOT(ISERROR(SEARCH(("AL"),(E4))))</formula>
    </cfRule>
    <cfRule type="cellIs" dxfId="691" priority="547" stopIfTrue="1" operator="equal">
      <formula>"CL"</formula>
    </cfRule>
    <cfRule type="cellIs" dxfId="690" priority="548" stopIfTrue="1" operator="equal">
      <formula>"EL"</formula>
    </cfRule>
    <cfRule type="cellIs" dxfId="689" priority="549" stopIfTrue="1" operator="equal">
      <formula>"UL"</formula>
    </cfRule>
    <cfRule type="containsText" dxfId="688" priority="550" operator="containsText" text="AL">
      <formula>NOT(ISERROR(SEARCH(("AL"),(E4))))</formula>
    </cfRule>
    <cfRule type="containsText" dxfId="687" priority="551" operator="containsText" text="OFF">
      <formula>NOT(ISERROR(SEARCH(("OFF"),(E4))))</formula>
    </cfRule>
    <cfRule type="cellIs" dxfId="686" priority="552" stopIfTrue="1" operator="equal">
      <formula>"CL"</formula>
    </cfRule>
    <cfRule type="cellIs" dxfId="685" priority="553" stopIfTrue="1" operator="equal">
      <formula>"EL"</formula>
    </cfRule>
    <cfRule type="cellIs" dxfId="684" priority="554" stopIfTrue="1" operator="equal">
      <formula>"UL"</formula>
    </cfRule>
    <cfRule type="cellIs" dxfId="683" priority="555" stopIfTrue="1" operator="equal">
      <formula>"CL"</formula>
    </cfRule>
    <cfRule type="cellIs" dxfId="682" priority="556" stopIfTrue="1" operator="equal">
      <formula>"EL"</formula>
    </cfRule>
    <cfRule type="cellIs" dxfId="681" priority="557" stopIfTrue="1" operator="equal">
      <formula>"UL"</formula>
    </cfRule>
    <cfRule type="cellIs" dxfId="680" priority="558" stopIfTrue="1" operator="equal">
      <formula>"CL"</formula>
    </cfRule>
    <cfRule type="cellIs" dxfId="679" priority="559" stopIfTrue="1" operator="equal">
      <formula>"EL"</formula>
    </cfRule>
    <cfRule type="cellIs" dxfId="678" priority="560" stopIfTrue="1" operator="equal">
      <formula>"UL"</formula>
    </cfRule>
    <cfRule type="cellIs" dxfId="677" priority="561" operator="equal">
      <formula>"OFF"</formula>
    </cfRule>
    <cfRule type="cellIs" dxfId="676" priority="563" stopIfTrue="1" operator="equal">
      <formula>"EL"</formula>
    </cfRule>
    <cfRule type="cellIs" dxfId="675" priority="564" stopIfTrue="1" operator="equal">
      <formula>"UL"</formula>
    </cfRule>
    <cfRule type="containsText" dxfId="674" priority="565" operator="containsText" text="AL">
      <formula>NOT(ISERROR(SEARCH(("AL"),(E4))))</formula>
    </cfRule>
    <cfRule type="containsText" dxfId="673" priority="566" operator="containsText" text="OFF">
      <formula>NOT(ISERROR(SEARCH(("OFF"),(E4))))</formula>
    </cfRule>
    <cfRule type="cellIs" dxfId="672" priority="567" stopIfTrue="1" operator="equal">
      <formula>"CL"</formula>
    </cfRule>
    <cfRule type="cellIs" dxfId="671" priority="568" stopIfTrue="1" operator="equal">
      <formula>"EL"</formula>
    </cfRule>
    <cfRule type="cellIs" dxfId="670" priority="569" stopIfTrue="1" operator="equal">
      <formula>"UL"</formula>
    </cfRule>
    <cfRule type="containsText" dxfId="669" priority="570" operator="containsText" text="AL">
      <formula>NOT(ISERROR(SEARCH(("AL"),(E4))))</formula>
    </cfRule>
    <cfRule type="containsText" dxfId="668" priority="571" operator="containsText" text="OFF">
      <formula>NOT(ISERROR(SEARCH(("OFF"),(E4))))</formula>
    </cfRule>
    <cfRule type="cellIs" dxfId="667" priority="572" operator="equal">
      <formula>"OFF"</formula>
    </cfRule>
    <cfRule type="containsText" dxfId="666" priority="574" operator="containsText" text="OFF">
      <formula>NOT(ISERROR(SEARCH(("OFF"),(E4))))</formula>
    </cfRule>
    <cfRule type="cellIs" dxfId="665" priority="575" stopIfTrue="1" operator="equal">
      <formula>"CL"</formula>
    </cfRule>
    <cfRule type="cellIs" dxfId="664" priority="576" stopIfTrue="1" operator="equal">
      <formula>"EL"</formula>
    </cfRule>
  </conditionalFormatting>
  <conditionalFormatting sqref="E4:E7">
    <cfRule type="containsText" dxfId="663" priority="75" operator="containsText" text="AL">
      <formula>NOT(ISERROR(SEARCH(("AL"),(E4))))</formula>
    </cfRule>
    <cfRule type="cellIs" dxfId="662" priority="74" stopIfTrue="1" operator="equal">
      <formula>"UL"</formula>
    </cfRule>
    <cfRule type="cellIs" dxfId="661" priority="73" stopIfTrue="1" operator="equal">
      <formula>"EL"</formula>
    </cfRule>
    <cfRule type="cellIs" dxfId="660" priority="72" stopIfTrue="1" operator="equal">
      <formula>"CL"</formula>
    </cfRule>
  </conditionalFormatting>
  <conditionalFormatting sqref="E5:E7">
    <cfRule type="containsText" dxfId="659" priority="76" operator="containsText" text="OFF">
      <formula>NOT(ISERROR(SEARCH(("OFF"),(E5))))</formula>
    </cfRule>
  </conditionalFormatting>
  <conditionalFormatting sqref="E4:F4">
    <cfRule type="containsText" dxfId="658" priority="588" operator="containsText" text="AL">
      <formula>NOT(ISERROR(SEARCH(("AL"),(E4))))</formula>
    </cfRule>
    <cfRule type="containsText" dxfId="657" priority="589" operator="containsText" text="OFF">
      <formula>NOT(ISERROR(SEARCH(("OFF"),(E4))))</formula>
    </cfRule>
  </conditionalFormatting>
  <conditionalFormatting sqref="E5:F7">
    <cfRule type="cellIs" dxfId="656" priority="1" operator="equal">
      <formula>"OFF"</formula>
    </cfRule>
  </conditionalFormatting>
  <conditionalFormatting sqref="F2:F3">
    <cfRule type="cellIs" dxfId="655" priority="745" stopIfTrue="1" operator="equal">
      <formula>"UL"</formula>
    </cfRule>
    <cfRule type="containsText" dxfId="654" priority="782" operator="containsText" text="AL">
      <formula>NOT(ISERROR(SEARCH(("AL"),(F2))))</formula>
    </cfRule>
    <cfRule type="containsText" dxfId="653" priority="783" operator="containsText" text="OFF">
      <formula>NOT(ISERROR(SEARCH(("OFF"),(F2))))</formula>
    </cfRule>
    <cfRule type="cellIs" dxfId="652" priority="767" stopIfTrue="1" operator="equal">
      <formula>"UL"</formula>
    </cfRule>
    <cfRule type="containsText" dxfId="651" priority="733" operator="containsText" text="AL">
      <formula>NOT(ISERROR(SEARCH(("AL"),(F2))))</formula>
    </cfRule>
    <cfRule type="containsText" dxfId="650" priority="734" operator="containsText" text="OFF">
      <formula>NOT(ISERROR(SEARCH(("OFF"),(F2))))</formula>
    </cfRule>
    <cfRule type="cellIs" dxfId="649" priority="735" operator="equal">
      <formula>"OFF"</formula>
    </cfRule>
    <cfRule type="containsText" dxfId="648" priority="736" operator="containsText" text="AL">
      <formula>NOT(ISERROR(SEARCH(("AL"),(F2))))</formula>
    </cfRule>
    <cfRule type="containsText" dxfId="647" priority="737" operator="containsText" text="OFF">
      <formula>NOT(ISERROR(SEARCH(("OFF"),(F2))))</formula>
    </cfRule>
    <cfRule type="cellIs" dxfId="646" priority="738" stopIfTrue="1" operator="equal">
      <formula>"CL"</formula>
    </cfRule>
    <cfRule type="cellIs" dxfId="645" priority="739" stopIfTrue="1" operator="equal">
      <formula>"EL"</formula>
    </cfRule>
    <cfRule type="cellIs" dxfId="644" priority="740" stopIfTrue="1" operator="equal">
      <formula>"UL"</formula>
    </cfRule>
    <cfRule type="containsText" dxfId="643" priority="741" operator="containsText" text="AL">
      <formula>NOT(ISERROR(SEARCH(("AL"),(F2))))</formula>
    </cfRule>
    <cfRule type="containsText" dxfId="642" priority="742" operator="containsText" text="OFF">
      <formula>NOT(ISERROR(SEARCH(("OFF"),(F2))))</formula>
    </cfRule>
    <cfRule type="cellIs" dxfId="641" priority="743" stopIfTrue="1" operator="equal">
      <formula>"CL"</formula>
    </cfRule>
    <cfRule type="cellIs" dxfId="640" priority="744" stopIfTrue="1" operator="equal">
      <formula>"EL"</formula>
    </cfRule>
    <cfRule type="containsText" dxfId="639" priority="761" operator="containsText" text="AL">
      <formula>NOT(ISERROR(SEARCH(("AL"),(F2))))</formula>
    </cfRule>
    <cfRule type="containsText" dxfId="638" priority="746" operator="containsText" text="AL">
      <formula>NOT(ISERROR(SEARCH(("AL"),(F2))))</formula>
    </cfRule>
    <cfRule type="containsText" dxfId="637" priority="747" operator="containsText" text="OFF">
      <formula>NOT(ISERROR(SEARCH(("OFF"),(F2))))</formula>
    </cfRule>
    <cfRule type="cellIs" dxfId="636" priority="748" stopIfTrue="1" operator="equal">
      <formula>"CL"</formula>
    </cfRule>
    <cfRule type="cellIs" dxfId="635" priority="749" stopIfTrue="1" operator="equal">
      <formula>"EL"</formula>
    </cfRule>
    <cfRule type="cellIs" dxfId="634" priority="750" stopIfTrue="1" operator="equal">
      <formula>"UL"</formula>
    </cfRule>
    <cfRule type="containsText" dxfId="633" priority="751" operator="containsText" text="AL">
      <formula>NOT(ISERROR(SEARCH(("AL"),(F2))))</formula>
    </cfRule>
    <cfRule type="containsText" dxfId="632" priority="752" operator="containsText" text="OFF">
      <formula>NOT(ISERROR(SEARCH(("OFF"),(F2))))</formula>
    </cfRule>
    <cfRule type="cellIs" dxfId="631" priority="753" stopIfTrue="1" operator="equal">
      <formula>"CL"</formula>
    </cfRule>
    <cfRule type="cellIs" dxfId="630" priority="754" stopIfTrue="1" operator="equal">
      <formula>"EL"</formula>
    </cfRule>
    <cfRule type="cellIs" dxfId="629" priority="755" stopIfTrue="1" operator="equal">
      <formula>"UL"</formula>
    </cfRule>
    <cfRule type="containsText" dxfId="628" priority="756" operator="containsText" text="AL">
      <formula>NOT(ISERROR(SEARCH(("AL"),(F2))))</formula>
    </cfRule>
    <cfRule type="containsText" dxfId="627" priority="757" operator="containsText" text="OFF">
      <formula>NOT(ISERROR(SEARCH(("OFF"),(F2))))</formula>
    </cfRule>
    <cfRule type="cellIs" dxfId="626" priority="758" stopIfTrue="1" operator="equal">
      <formula>"CL"</formula>
    </cfRule>
    <cfRule type="cellIs" dxfId="625" priority="759" stopIfTrue="1" operator="equal">
      <formula>"EL"</formula>
    </cfRule>
    <cfRule type="cellIs" dxfId="624" priority="760" stopIfTrue="1" operator="equal">
      <formula>"UL"</formula>
    </cfRule>
    <cfRule type="containsText" dxfId="623" priority="769" operator="containsText" text="OFF">
      <formula>NOT(ISERROR(SEARCH(("OFF"),(F2))))</formula>
    </cfRule>
    <cfRule type="containsText" dxfId="622" priority="762" operator="containsText" text="OFF">
      <formula>NOT(ISERROR(SEARCH(("OFF"),(F2))))</formula>
    </cfRule>
    <cfRule type="containsText" dxfId="621" priority="763" operator="containsText" text="AL">
      <formula>NOT(ISERROR(SEARCH(("AL"),(F2))))</formula>
    </cfRule>
    <cfRule type="containsText" dxfId="620" priority="764" operator="containsText" text="OFF">
      <formula>NOT(ISERROR(SEARCH(("OFF"),(F2))))</formula>
    </cfRule>
    <cfRule type="cellIs" dxfId="619" priority="765" stopIfTrue="1" operator="equal">
      <formula>"CL"</formula>
    </cfRule>
    <cfRule type="cellIs" dxfId="618" priority="766" stopIfTrue="1" operator="equal">
      <formula>"EL"</formula>
    </cfRule>
    <cfRule type="containsText" dxfId="617" priority="768" operator="containsText" text="AL">
      <formula>NOT(ISERROR(SEARCH(("AL"),(F2))))</formula>
    </cfRule>
    <cfRule type="containsText" dxfId="616" priority="770" operator="containsText" text="AL">
      <formula>NOT(ISERROR(SEARCH(("AL"),(F2))))</formula>
    </cfRule>
    <cfRule type="containsText" dxfId="615" priority="771" operator="containsText" text="OFF">
      <formula>NOT(ISERROR(SEARCH(("OFF"),(F2))))</formula>
    </cfRule>
    <cfRule type="cellIs" dxfId="614" priority="772" stopIfTrue="1" operator="equal">
      <formula>"CL"</formula>
    </cfRule>
    <cfRule type="cellIs" dxfId="613" priority="773" stopIfTrue="1" operator="equal">
      <formula>"EL"</formula>
    </cfRule>
    <cfRule type="cellIs" dxfId="612" priority="774" stopIfTrue="1" operator="equal">
      <formula>"UL"</formula>
    </cfRule>
    <cfRule type="containsText" dxfId="611" priority="775" operator="containsText" text="AL">
      <formula>NOT(ISERROR(SEARCH(("AL"),(F2))))</formula>
    </cfRule>
    <cfRule type="containsText" dxfId="610" priority="776" operator="containsText" text="OFF">
      <formula>NOT(ISERROR(SEARCH(("OFF"),(F2))))</formula>
    </cfRule>
    <cfRule type="cellIs" dxfId="609" priority="777" stopIfTrue="1" operator="equal">
      <formula>"CL"</formula>
    </cfRule>
    <cfRule type="cellIs" dxfId="608" priority="778" stopIfTrue="1" operator="equal">
      <formula>"EL"</formula>
    </cfRule>
    <cfRule type="cellIs" dxfId="607" priority="779" stopIfTrue="1" operator="equal">
      <formula>"UL"</formula>
    </cfRule>
    <cfRule type="containsText" dxfId="606" priority="780" operator="containsText" text="AL">
      <formula>NOT(ISERROR(SEARCH(("AL"),(F2))))</formula>
    </cfRule>
    <cfRule type="containsText" dxfId="605" priority="781" operator="containsText" text="OFF">
      <formula>NOT(ISERROR(SEARCH(("OFF"),(F2))))</formula>
    </cfRule>
  </conditionalFormatting>
  <conditionalFormatting sqref="F2:F4">
    <cfRule type="cellIs" dxfId="604" priority="784" stopIfTrue="1" operator="equal">
      <formula>"CL"</formula>
    </cfRule>
    <cfRule type="cellIs" dxfId="603" priority="786" stopIfTrue="1" operator="equal">
      <formula>"UL"</formula>
    </cfRule>
    <cfRule type="cellIs" dxfId="602" priority="785" stopIfTrue="1" operator="equal">
      <formula>"EL"</formula>
    </cfRule>
  </conditionalFormatting>
  <conditionalFormatting sqref="F4 D5">
    <cfRule type="cellIs" dxfId="601" priority="864" stopIfTrue="1" operator="equal">
      <formula>"EL"</formula>
    </cfRule>
    <cfRule type="cellIs" dxfId="600" priority="863" stopIfTrue="1" operator="equal">
      <formula>"CL"</formula>
    </cfRule>
    <cfRule type="containsText" dxfId="599" priority="862" operator="containsText" text="OFF">
      <formula>NOT(ISERROR(SEARCH(("OFF"),(D4))))</formula>
    </cfRule>
    <cfRule type="containsText" dxfId="598" priority="861" operator="containsText" text="AL">
      <formula>NOT(ISERROR(SEARCH(("AL"),(D4))))</formula>
    </cfRule>
    <cfRule type="cellIs" dxfId="597" priority="860" stopIfTrue="1" operator="equal">
      <formula>"UL"</formula>
    </cfRule>
    <cfRule type="cellIs" dxfId="596" priority="859" stopIfTrue="1" operator="equal">
      <formula>"EL"</formula>
    </cfRule>
    <cfRule type="cellIs" dxfId="595" priority="858" stopIfTrue="1" operator="equal">
      <formula>"CL"</formula>
    </cfRule>
    <cfRule type="containsText" dxfId="594" priority="857" operator="containsText" text="OFF">
      <formula>NOT(ISERROR(SEARCH(("OFF"),(D4))))</formula>
    </cfRule>
    <cfRule type="containsText" dxfId="593" priority="856" operator="containsText" text="AL">
      <formula>NOT(ISERROR(SEARCH(("AL"),(D4))))</formula>
    </cfRule>
    <cfRule type="cellIs" dxfId="592" priority="855" operator="equal">
      <formula>"OFF"</formula>
    </cfRule>
    <cfRule type="cellIs" dxfId="591" priority="865" stopIfTrue="1" operator="equal">
      <formula>"UL"</formula>
    </cfRule>
  </conditionalFormatting>
  <conditionalFormatting sqref="F4">
    <cfRule type="containsText" dxfId="590" priority="849" operator="containsText" text="OFF">
      <formula>NOT(ISERROR(SEARCH(("OFF"),(F4))))</formula>
    </cfRule>
    <cfRule type="containsText" dxfId="589" priority="848" operator="containsText" text="AL">
      <formula>NOT(ISERROR(SEARCH(("AL"),(F4))))</formula>
    </cfRule>
    <cfRule type="cellIs" dxfId="588" priority="850" stopIfTrue="1" operator="equal">
      <formula>"CL"</formula>
    </cfRule>
    <cfRule type="cellIs" dxfId="587" priority="851" stopIfTrue="1" operator="equal">
      <formula>"EL"</formula>
    </cfRule>
    <cfRule type="cellIs" dxfId="586" priority="852" stopIfTrue="1" operator="equal">
      <formula>"UL"</formula>
    </cfRule>
    <cfRule type="containsText" dxfId="585" priority="853" operator="containsText" text="AL">
      <formula>NOT(ISERROR(SEARCH(("AL"),(F4))))</formula>
    </cfRule>
    <cfRule type="containsText" dxfId="584" priority="854" operator="containsText" text="OFF">
      <formula>NOT(ISERROR(SEARCH(("OFF"),(F4))))</formula>
    </cfRule>
  </conditionalFormatting>
  <conditionalFormatting sqref="F5:F7">
    <cfRule type="cellIs" dxfId="583" priority="46" stopIfTrue="1" operator="equal">
      <formula>"UL"</formula>
    </cfRule>
    <cfRule type="cellIs" dxfId="582" priority="45" stopIfTrue="1" operator="equal">
      <formula>"EL"</formula>
    </cfRule>
    <cfRule type="cellIs" dxfId="581" priority="44" stopIfTrue="1" operator="equal">
      <formula>"CL"</formula>
    </cfRule>
    <cfRule type="containsText" dxfId="580" priority="43" operator="containsText" text="OFF">
      <formula>NOT(ISERROR(SEARCH(("OFF"),(F5))))</formula>
    </cfRule>
    <cfRule type="containsText" dxfId="579" priority="42" operator="containsText" text="AL">
      <formula>NOT(ISERROR(SEARCH(("AL"),(F5))))</formula>
    </cfRule>
    <cfRule type="containsText" dxfId="578" priority="41" operator="containsText" text="OFF">
      <formula>NOT(ISERROR(SEARCH(("OFF"),(F5))))</formula>
    </cfRule>
    <cfRule type="containsText" dxfId="577" priority="40" operator="containsText" text="AL">
      <formula>NOT(ISERROR(SEARCH(("AL"),(F5))))</formula>
    </cfRule>
    <cfRule type="cellIs" dxfId="576" priority="39" stopIfTrue="1" operator="equal">
      <formula>"UL"</formula>
    </cfRule>
    <cfRule type="cellIs" dxfId="575" priority="38" stopIfTrue="1" operator="equal">
      <formula>"EL"</formula>
    </cfRule>
    <cfRule type="cellIs" dxfId="574" priority="37" stopIfTrue="1" operator="equal">
      <formula>"CL"</formula>
    </cfRule>
    <cfRule type="containsText" dxfId="573" priority="36" operator="containsText" text="OFF">
      <formula>NOT(ISERROR(SEARCH(("OFF"),(F5))))</formula>
    </cfRule>
    <cfRule type="containsText" dxfId="572" priority="35" operator="containsText" text="AL">
      <formula>NOT(ISERROR(SEARCH(("AL"),(F5))))</formula>
    </cfRule>
    <cfRule type="containsText" dxfId="571" priority="55" operator="containsText" text="OFF">
      <formula>NOT(ISERROR(SEARCH(("OFF"),(F5))))</formula>
    </cfRule>
    <cfRule type="containsText" dxfId="570" priority="34" operator="containsText" text="OFF">
      <formula>NOT(ISERROR(SEARCH(("OFF"),(F5))))</formula>
    </cfRule>
    <cfRule type="containsText" dxfId="569" priority="33" operator="containsText" text="AL">
      <formula>NOT(ISERROR(SEARCH(("AL"),(F5))))</formula>
    </cfRule>
    <cfRule type="cellIs" dxfId="568" priority="32" stopIfTrue="1" operator="equal">
      <formula>"UL"</formula>
    </cfRule>
    <cfRule type="cellIs" dxfId="567" priority="31" stopIfTrue="1" operator="equal">
      <formula>"EL"</formula>
    </cfRule>
    <cfRule type="cellIs" dxfId="566" priority="30" stopIfTrue="1" operator="equal">
      <formula>"CL"</formula>
    </cfRule>
    <cfRule type="containsText" dxfId="565" priority="29" operator="containsText" text="OFF">
      <formula>NOT(ISERROR(SEARCH(("OFF"),(F5))))</formula>
    </cfRule>
    <cfRule type="containsText" dxfId="564" priority="28" operator="containsText" text="AL">
      <formula>NOT(ISERROR(SEARCH(("AL"),(F5))))</formula>
    </cfRule>
    <cfRule type="cellIs" dxfId="563" priority="27" stopIfTrue="1" operator="equal">
      <formula>"UL"</formula>
    </cfRule>
    <cfRule type="cellIs" dxfId="562" priority="26" stopIfTrue="1" operator="equal">
      <formula>"EL"</formula>
    </cfRule>
    <cfRule type="cellIs" dxfId="561" priority="25" stopIfTrue="1" operator="equal">
      <formula>"CL"</formula>
    </cfRule>
    <cfRule type="containsText" dxfId="560" priority="24" operator="containsText" text="OFF">
      <formula>NOT(ISERROR(SEARCH(("OFF"),(F5))))</formula>
    </cfRule>
    <cfRule type="containsText" dxfId="559" priority="23" operator="containsText" text="AL">
      <formula>NOT(ISERROR(SEARCH(("AL"),(F5))))</formula>
    </cfRule>
    <cfRule type="cellIs" dxfId="558" priority="22" stopIfTrue="1" operator="equal">
      <formula>"UL"</formula>
    </cfRule>
    <cfRule type="containsText" dxfId="557" priority="5" operator="containsText" text="AL">
      <formula>NOT(ISERROR(SEARCH(("AL"),(F5))))</formula>
    </cfRule>
    <cfRule type="cellIs" dxfId="556" priority="20" stopIfTrue="1" operator="equal">
      <formula>"CL"</formula>
    </cfRule>
    <cfRule type="containsText" dxfId="555" priority="19" operator="containsText" text="OFF">
      <formula>NOT(ISERROR(SEARCH(("OFF"),(F5))))</formula>
    </cfRule>
    <cfRule type="containsText" dxfId="554" priority="18" operator="containsText" text="AL">
      <formula>NOT(ISERROR(SEARCH(("AL"),(F5))))</formula>
    </cfRule>
    <cfRule type="cellIs" dxfId="553" priority="17" stopIfTrue="1" operator="equal">
      <formula>"UL"</formula>
    </cfRule>
    <cfRule type="cellIs" dxfId="552" priority="16" stopIfTrue="1" operator="equal">
      <formula>"EL"</formula>
    </cfRule>
    <cfRule type="cellIs" dxfId="551" priority="15" stopIfTrue="1" operator="equal">
      <formula>"CL"</formula>
    </cfRule>
    <cfRule type="containsText" dxfId="550" priority="14" operator="containsText" text="OFF">
      <formula>NOT(ISERROR(SEARCH(("OFF"),(F5))))</formula>
    </cfRule>
    <cfRule type="containsText" dxfId="549" priority="13" operator="containsText" text="AL">
      <formula>NOT(ISERROR(SEARCH(("AL"),(F5))))</formula>
    </cfRule>
    <cfRule type="cellIs" dxfId="548" priority="12" stopIfTrue="1" operator="equal">
      <formula>"UL"</formula>
    </cfRule>
    <cfRule type="cellIs" dxfId="547" priority="11" stopIfTrue="1" operator="equal">
      <formula>"EL"</formula>
    </cfRule>
    <cfRule type="cellIs" dxfId="546" priority="10" stopIfTrue="1" operator="equal">
      <formula>"CL"</formula>
    </cfRule>
    <cfRule type="containsText" dxfId="545" priority="9" operator="containsText" text="OFF">
      <formula>NOT(ISERROR(SEARCH(("OFF"),(F5))))</formula>
    </cfRule>
    <cfRule type="containsText" dxfId="544" priority="8" operator="containsText" text="AL">
      <formula>NOT(ISERROR(SEARCH(("AL"),(F5))))</formula>
    </cfRule>
    <cfRule type="containsText" dxfId="543" priority="53" operator="containsText" text="OFF">
      <formula>NOT(ISERROR(SEARCH(("OFF"),(F5))))</formula>
    </cfRule>
    <cfRule type="containsText" dxfId="542" priority="54" operator="containsText" text="AL">
      <formula>NOT(ISERROR(SEARCH(("AL"),(F5))))</formula>
    </cfRule>
    <cfRule type="containsText" dxfId="541" priority="52" operator="containsText" text="AL">
      <formula>NOT(ISERROR(SEARCH(("AL"),(F5))))</formula>
    </cfRule>
    <cfRule type="cellIs" dxfId="540" priority="51" stopIfTrue="1" operator="equal">
      <formula>"UL"</formula>
    </cfRule>
    <cfRule type="cellIs" dxfId="539" priority="50" stopIfTrue="1" operator="equal">
      <formula>"EL"</formula>
    </cfRule>
    <cfRule type="cellIs" dxfId="538" priority="49" stopIfTrue="1" operator="equal">
      <formula>"CL"</formula>
    </cfRule>
    <cfRule type="containsText" dxfId="537" priority="48" operator="containsText" text="OFF">
      <formula>NOT(ISERROR(SEARCH(("OFF"),(F5))))</formula>
    </cfRule>
    <cfRule type="cellIs" dxfId="536" priority="21" stopIfTrue="1" operator="equal">
      <formula>"EL"</formula>
    </cfRule>
    <cfRule type="containsText" dxfId="535" priority="47" operator="containsText" text="AL">
      <formula>NOT(ISERROR(SEARCH(("AL"),(F5))))</formula>
    </cfRule>
    <cfRule type="cellIs" dxfId="534" priority="2" stopIfTrue="1" operator="equal">
      <formula>"CL"</formula>
    </cfRule>
    <cfRule type="containsText" dxfId="533" priority="6" operator="containsText" text="OFF">
      <formula>NOT(ISERROR(SEARCH(("OFF"),(F5))))</formula>
    </cfRule>
    <cfRule type="cellIs" dxfId="532" priority="3" stopIfTrue="1" operator="equal">
      <formula>"EL"</formula>
    </cfRule>
    <cfRule type="cellIs" dxfId="531" priority="4" stopIfTrue="1" operator="equal">
      <formula>"UL"</formula>
    </cfRule>
  </conditionalFormatting>
  <conditionalFormatting sqref="F2:G7">
    <cfRule type="cellIs" dxfId="530" priority="56" stopIfTrue="1" operator="equal">
      <formula>"CL"</formula>
    </cfRule>
    <cfRule type="cellIs" dxfId="529" priority="7" operator="equal">
      <formula>"OFF"</formula>
    </cfRule>
    <cfRule type="cellIs" dxfId="528" priority="57" stopIfTrue="1" operator="equal">
      <formula>"EL"</formula>
    </cfRule>
    <cfRule type="cellIs" dxfId="527" priority="58" stopIfTrue="1" operator="equal">
      <formula>"UL"</formula>
    </cfRule>
  </conditionalFormatting>
  <conditionalFormatting sqref="G2:G7">
    <cfRule type="containsText" dxfId="526" priority="63" operator="containsText" text="AL">
      <formula>NOT(ISERROR(SEARCH(("AL"),(G2))))</formula>
    </cfRule>
    <cfRule type="containsText" dxfId="525" priority="64" operator="containsText" text="OFF">
      <formula>NOT(ISERROR(SEARCH(("OFF"),(G2))))</formula>
    </cfRule>
  </conditionalFormatting>
  <pageMargins left="0.7" right="0.7" top="0.75" bottom="0.75" header="0.3" footer="0.3"/>
  <pageSetup paperSize="0"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G12" sqref="G12"/>
    </sheetView>
  </sheetViews>
  <sheetFormatPr defaultRowHeight="14.25" x14ac:dyDescent="0.2"/>
  <cols>
    <col min="1" max="1" width="16.75" bestFit="1" customWidth="1"/>
    <col min="2" max="3" width="15.75" bestFit="1" customWidth="1"/>
    <col min="4" max="7" width="16.75" bestFit="1" customWidth="1"/>
    <col min="9" max="9" width="16.25" bestFit="1" customWidth="1"/>
  </cols>
  <sheetData>
    <row r="1" spans="1:9" x14ac:dyDescent="0.2">
      <c r="A1" s="6">
        <v>250000000</v>
      </c>
      <c r="B1" s="6">
        <v>90000000</v>
      </c>
      <c r="C1" s="6">
        <v>90000000</v>
      </c>
      <c r="D1" s="6">
        <v>100000000</v>
      </c>
      <c r="E1" s="6">
        <v>100000000</v>
      </c>
      <c r="F1" s="6">
        <v>120000000</v>
      </c>
      <c r="G1" s="6">
        <v>250000000</v>
      </c>
      <c r="I1" s="5">
        <v>1000000000</v>
      </c>
    </row>
    <row r="2" spans="1:9" x14ac:dyDescent="0.2">
      <c r="A2" s="3">
        <v>45207</v>
      </c>
      <c r="B2" s="3">
        <v>45208</v>
      </c>
      <c r="C2" s="3">
        <v>45209</v>
      </c>
      <c r="D2" s="3">
        <v>45210</v>
      </c>
      <c r="E2" s="3">
        <v>45211</v>
      </c>
      <c r="F2" s="3">
        <v>45212</v>
      </c>
      <c r="G2" s="3">
        <v>45213</v>
      </c>
    </row>
    <row r="3" spans="1:9" x14ac:dyDescent="0.2">
      <c r="A3" s="7">
        <f>$A$1/6</f>
        <v>41666666.666666664</v>
      </c>
      <c r="B3" s="8"/>
      <c r="C3" s="8"/>
      <c r="D3" s="8"/>
      <c r="E3" s="8"/>
      <c r="F3" s="8">
        <f>$F$1/6</f>
        <v>20000000</v>
      </c>
      <c r="G3" s="9">
        <v>41666666.666666664</v>
      </c>
    </row>
    <row r="4" spans="1:9" x14ac:dyDescent="0.2">
      <c r="A4" s="7">
        <f t="shared" ref="A4:A8" si="0">$A$1/6</f>
        <v>41666666.666666664</v>
      </c>
      <c r="B4" s="8">
        <f>$B$1/5</f>
        <v>18000000</v>
      </c>
      <c r="C4" s="8">
        <f>$C$1/4</f>
        <v>22500000</v>
      </c>
      <c r="D4" s="8" t="s">
        <v>0</v>
      </c>
      <c r="E4" s="8">
        <f>$E$1/3</f>
        <v>33333333.333333332</v>
      </c>
      <c r="F4" s="8">
        <f t="shared" ref="F4:F8" si="1">$F$1/6</f>
        <v>20000000</v>
      </c>
      <c r="G4" s="9">
        <v>41666666.666666664</v>
      </c>
    </row>
    <row r="5" spans="1:9" x14ac:dyDescent="0.2">
      <c r="A5" s="7">
        <f t="shared" si="0"/>
        <v>41666666.666666664</v>
      </c>
      <c r="B5" s="8">
        <f t="shared" ref="B5:B8" si="2">$B$1/5</f>
        <v>18000000</v>
      </c>
      <c r="C5" s="8" t="s">
        <v>0</v>
      </c>
      <c r="D5" s="8">
        <f>$E$1/3</f>
        <v>33333333.333333332</v>
      </c>
      <c r="E5" s="8">
        <f>$E$1/3</f>
        <v>33333333.333333332</v>
      </c>
      <c r="F5" s="8">
        <f t="shared" si="1"/>
        <v>20000000</v>
      </c>
      <c r="G5" s="9">
        <v>41666666.666666664</v>
      </c>
    </row>
    <row r="6" spans="1:9" x14ac:dyDescent="0.2">
      <c r="A6" s="7">
        <f t="shared" si="0"/>
        <v>41666666.666666664</v>
      </c>
      <c r="B6" s="8">
        <f t="shared" si="2"/>
        <v>18000000</v>
      </c>
      <c r="C6" s="8">
        <f t="shared" ref="C6:C8" si="3">$C$1/4</f>
        <v>22500000</v>
      </c>
      <c r="D6" s="8">
        <f t="shared" ref="D6:D7" si="4">$E$1/3</f>
        <v>33333333.333333332</v>
      </c>
      <c r="E6" s="8" t="s">
        <v>0</v>
      </c>
      <c r="F6" s="8">
        <f t="shared" si="1"/>
        <v>20000000</v>
      </c>
      <c r="G6" s="9">
        <v>41666666.666666664</v>
      </c>
    </row>
    <row r="7" spans="1:9" x14ac:dyDescent="0.2">
      <c r="A7" s="7">
        <f t="shared" si="0"/>
        <v>41666666.666666664</v>
      </c>
      <c r="B7" s="8">
        <f t="shared" si="2"/>
        <v>18000000</v>
      </c>
      <c r="C7" s="8">
        <f t="shared" si="3"/>
        <v>22500000</v>
      </c>
      <c r="D7" s="8">
        <f t="shared" si="4"/>
        <v>33333333.333333332</v>
      </c>
      <c r="E7" s="8" t="s">
        <v>0</v>
      </c>
      <c r="F7" s="8">
        <f t="shared" si="1"/>
        <v>20000000</v>
      </c>
      <c r="G7" s="9">
        <v>41666666.666666664</v>
      </c>
    </row>
    <row r="8" spans="1:9" x14ac:dyDescent="0.2">
      <c r="A8" s="7">
        <f t="shared" si="0"/>
        <v>41666666.666666664</v>
      </c>
      <c r="B8" s="8">
        <f t="shared" si="2"/>
        <v>18000000</v>
      </c>
      <c r="C8" s="8">
        <f t="shared" si="3"/>
        <v>22500000</v>
      </c>
      <c r="D8" s="8" t="s">
        <v>0</v>
      </c>
      <c r="E8" s="8">
        <f>$E$1/3</f>
        <v>33333333.333333332</v>
      </c>
      <c r="F8" s="8">
        <f t="shared" si="1"/>
        <v>20000000</v>
      </c>
      <c r="G8" s="9">
        <v>41666666.666666664</v>
      </c>
    </row>
    <row r="9" spans="1:9" x14ac:dyDescent="0.2">
      <c r="A9" s="4"/>
      <c r="B9" s="4"/>
      <c r="C9" s="4"/>
      <c r="D9" s="4"/>
      <c r="E9" s="4"/>
    </row>
  </sheetData>
  <conditionalFormatting sqref="A3:A9">
    <cfRule type="cellIs" dxfId="524" priority="95" operator="equal">
      <formula>"OFF"</formula>
    </cfRule>
    <cfRule type="containsText" dxfId="523" priority="99" operator="containsText" text="AL">
      <formula>NOT(ISERROR(SEARCH(("AL"),(A3))))</formula>
    </cfRule>
    <cfRule type="cellIs" dxfId="522" priority="96" stopIfTrue="1" operator="equal">
      <formula>"CL"</formula>
    </cfRule>
    <cfRule type="cellIs" dxfId="521" priority="97" stopIfTrue="1" operator="equal">
      <formula>"EL"</formula>
    </cfRule>
    <cfRule type="containsText" dxfId="520" priority="100" operator="containsText" text="OFF">
      <formula>NOT(ISERROR(SEARCH(("OFF"),(A3))))</formula>
    </cfRule>
    <cfRule type="cellIs" dxfId="519" priority="98" stopIfTrue="1" operator="equal">
      <formula>"UL"</formula>
    </cfRule>
  </conditionalFormatting>
  <conditionalFormatting sqref="A9">
    <cfRule type="containsText" dxfId="518" priority="924" operator="containsText" text="AL">
      <formula>NOT(ISERROR(SEARCH(("AL"),(A9))))</formula>
    </cfRule>
    <cfRule type="cellIs" dxfId="517" priority="922" stopIfTrue="1" operator="equal">
      <formula>"EL"</formula>
    </cfRule>
    <cfRule type="cellIs" dxfId="516" priority="917" stopIfTrue="1" operator="equal">
      <formula>"EL"</formula>
    </cfRule>
    <cfRule type="containsText" dxfId="515" priority="919" operator="containsText" text="AL">
      <formula>NOT(ISERROR(SEARCH(("AL"),(A9))))</formula>
    </cfRule>
    <cfRule type="containsText" dxfId="514" priority="920" operator="containsText" text="OFF">
      <formula>NOT(ISERROR(SEARCH(("OFF"),(A9))))</formula>
    </cfRule>
    <cfRule type="containsText" dxfId="513" priority="902" operator="containsText" text="OFF">
      <formula>NOT(ISERROR(SEARCH(("OFF"),(A9))))</formula>
    </cfRule>
    <cfRule type="cellIs" dxfId="512" priority="921" stopIfTrue="1" operator="equal">
      <formula>"CL"</formula>
    </cfRule>
    <cfRule type="containsText" dxfId="511" priority="927" operator="containsText" text="OFF">
      <formula>NOT(ISERROR(SEARCH(("OFF"),(A9))))</formula>
    </cfRule>
    <cfRule type="containsText" dxfId="510" priority="926" operator="containsText" text="AL">
      <formula>NOT(ISERROR(SEARCH(("AL"),(A9))))</formula>
    </cfRule>
    <cfRule type="containsText" dxfId="509" priority="925" operator="containsText" text="OFF">
      <formula>NOT(ISERROR(SEARCH(("OFF"),(A9))))</formula>
    </cfRule>
    <cfRule type="cellIs" dxfId="508" priority="923" stopIfTrue="1" operator="equal">
      <formula>"UL"</formula>
    </cfRule>
    <cfRule type="containsText" dxfId="507" priority="915" operator="containsText" text="OFF">
      <formula>NOT(ISERROR(SEARCH(("OFF"),(A9))))</formula>
    </cfRule>
    <cfRule type="cellIs" dxfId="506" priority="898" stopIfTrue="1" operator="equal">
      <formula>"CL"</formula>
    </cfRule>
    <cfRule type="cellIs" dxfId="505" priority="899" stopIfTrue="1" operator="equal">
      <formula>"EL"</formula>
    </cfRule>
    <cfRule type="cellIs" dxfId="504" priority="900" stopIfTrue="1" operator="equal">
      <formula>"UL"</formula>
    </cfRule>
    <cfRule type="containsText" dxfId="503" priority="901" operator="containsText" text="AL">
      <formula>NOT(ISERROR(SEARCH(("AL"),(A9))))</formula>
    </cfRule>
    <cfRule type="cellIs" dxfId="502" priority="918" stopIfTrue="1" operator="equal">
      <formula>"UL"</formula>
    </cfRule>
    <cfRule type="cellIs" dxfId="501" priority="903" operator="equal">
      <formula>"OFF"</formula>
    </cfRule>
    <cfRule type="containsText" dxfId="500" priority="904" operator="containsText" text="AL">
      <formula>NOT(ISERROR(SEARCH(("AL"),(A9))))</formula>
    </cfRule>
    <cfRule type="containsText" dxfId="499" priority="905" operator="containsText" text="OFF">
      <formula>NOT(ISERROR(SEARCH(("OFF"),(A9))))</formula>
    </cfRule>
    <cfRule type="cellIs" dxfId="498" priority="906" stopIfTrue="1" operator="equal">
      <formula>"CL"</formula>
    </cfRule>
    <cfRule type="cellIs" dxfId="497" priority="907" stopIfTrue="1" operator="equal">
      <formula>"EL"</formula>
    </cfRule>
    <cfRule type="cellIs" dxfId="496" priority="908" stopIfTrue="1" operator="equal">
      <formula>"UL"</formula>
    </cfRule>
    <cfRule type="containsText" dxfId="495" priority="909" operator="containsText" text="AL">
      <formula>NOT(ISERROR(SEARCH(("AL"),(A9))))</formula>
    </cfRule>
    <cfRule type="containsText" dxfId="494" priority="910" operator="containsText" text="OFF">
      <formula>NOT(ISERROR(SEARCH(("OFF"),(A9))))</formula>
    </cfRule>
    <cfRule type="cellIs" dxfId="493" priority="911" stopIfTrue="1" operator="equal">
      <formula>"CL"</formula>
    </cfRule>
    <cfRule type="cellIs" dxfId="492" priority="912" stopIfTrue="1" operator="equal">
      <formula>"EL"</formula>
    </cfRule>
    <cfRule type="cellIs" dxfId="491" priority="913" stopIfTrue="1" operator="equal">
      <formula>"UL"</formula>
    </cfRule>
    <cfRule type="containsText" dxfId="490" priority="914" operator="containsText" text="AL">
      <formula>NOT(ISERROR(SEARCH(("AL"),(A9))))</formula>
    </cfRule>
    <cfRule type="cellIs" dxfId="489" priority="916" stopIfTrue="1" operator="equal">
      <formula>"CL"</formula>
    </cfRule>
  </conditionalFormatting>
  <conditionalFormatting sqref="A9:D9">
    <cfRule type="cellIs" dxfId="488" priority="928" stopIfTrue="1" operator="equal">
      <formula>"CL"</formula>
    </cfRule>
    <cfRule type="cellIs" dxfId="487" priority="930" stopIfTrue="1" operator="equal">
      <formula>"UL"</formula>
    </cfRule>
    <cfRule type="cellIs" dxfId="486" priority="929" stopIfTrue="1" operator="equal">
      <formula>"EL"</formula>
    </cfRule>
  </conditionalFormatting>
  <conditionalFormatting sqref="B5:B8">
    <cfRule type="cellIs" dxfId="485" priority="2" stopIfTrue="1" operator="equal">
      <formula>"CL"</formula>
    </cfRule>
    <cfRule type="cellIs" dxfId="484" priority="3" stopIfTrue="1" operator="equal">
      <formula>"EL"</formula>
    </cfRule>
    <cfRule type="cellIs" dxfId="483" priority="4" stopIfTrue="1" operator="equal">
      <formula>"UL"</formula>
    </cfRule>
    <cfRule type="containsText" dxfId="482" priority="5" operator="containsText" text="AL">
      <formula>NOT(ISERROR(SEARCH(("AL"),(B5))))</formula>
    </cfRule>
    <cfRule type="cellIs" dxfId="481" priority="1" operator="equal">
      <formula>"OFF"</formula>
    </cfRule>
    <cfRule type="containsText" dxfId="480" priority="6" operator="containsText" text="OFF">
      <formula>NOT(ISERROR(SEARCH(("OFF"),(B5))))</formula>
    </cfRule>
  </conditionalFormatting>
  <conditionalFormatting sqref="B9:D9">
    <cfRule type="containsText" dxfId="479" priority="1030" operator="containsText" text="OFF">
      <formula>NOT(ISERROR(SEARCH(("OFF"),(B9))))</formula>
    </cfRule>
    <cfRule type="containsText" dxfId="478" priority="1029" operator="containsText" text="AL">
      <formula>NOT(ISERROR(SEARCH(("AL"),(B9))))</formula>
    </cfRule>
    <cfRule type="cellIs" dxfId="477" priority="1028" stopIfTrue="1" operator="equal">
      <formula>"UL"</formula>
    </cfRule>
    <cfRule type="cellIs" dxfId="476" priority="1027" stopIfTrue="1" operator="equal">
      <formula>"EL"</formula>
    </cfRule>
    <cfRule type="cellIs" dxfId="475" priority="1026" stopIfTrue="1" operator="equal">
      <formula>"CL"</formula>
    </cfRule>
    <cfRule type="cellIs" dxfId="474" priority="1025" stopIfTrue="1" operator="equal">
      <formula>"UL"</formula>
    </cfRule>
    <cfRule type="cellIs" dxfId="473" priority="1023" stopIfTrue="1" operator="equal">
      <formula>"CL"</formula>
    </cfRule>
    <cfRule type="containsText" dxfId="472" priority="1022" operator="containsText" text="OFF">
      <formula>NOT(ISERROR(SEARCH(("OFF"),(B9))))</formula>
    </cfRule>
    <cfRule type="containsText" dxfId="471" priority="1021" operator="containsText" text="AL">
      <formula>NOT(ISERROR(SEARCH(("AL"),(B9))))</formula>
    </cfRule>
    <cfRule type="containsText" dxfId="470" priority="1020" operator="containsText" text="OFF">
      <formula>NOT(ISERROR(SEARCH(("OFF"),(B9))))</formula>
    </cfRule>
    <cfRule type="containsText" dxfId="469" priority="1019" operator="containsText" text="AL">
      <formula>NOT(ISERROR(SEARCH(("AL"),(B9))))</formula>
    </cfRule>
    <cfRule type="cellIs" dxfId="468" priority="1024" stopIfTrue="1" operator="equal">
      <formula>"EL"</formula>
    </cfRule>
    <cfRule type="cellIs" dxfId="467" priority="1051" stopIfTrue="1" operator="equal">
      <formula>"CL"</formula>
    </cfRule>
    <cfRule type="containsText" dxfId="466" priority="1068" operator="containsText" text="OFF">
      <formula>NOT(ISERROR(SEARCH(("OFF"),(B9))))</formula>
    </cfRule>
    <cfRule type="containsText" dxfId="465" priority="1067" operator="containsText" text="AL">
      <formula>NOT(ISERROR(SEARCH(("AL"),(B9))))</formula>
    </cfRule>
    <cfRule type="cellIs" dxfId="464" priority="1066" stopIfTrue="1" operator="equal">
      <formula>"UL"</formula>
    </cfRule>
    <cfRule type="cellIs" dxfId="463" priority="1065" stopIfTrue="1" operator="equal">
      <formula>"EL"</formula>
    </cfRule>
    <cfRule type="cellIs" dxfId="462" priority="1064" stopIfTrue="1" operator="equal">
      <formula>"CL"</formula>
    </cfRule>
    <cfRule type="containsText" dxfId="461" priority="1063" operator="containsText" text="OFF">
      <formula>NOT(ISERROR(SEARCH(("OFF"),(B9))))</formula>
    </cfRule>
    <cfRule type="cellIs" dxfId="460" priority="1061" stopIfTrue="1" operator="equal">
      <formula>"UL"</formula>
    </cfRule>
    <cfRule type="cellIs" dxfId="459" priority="1060" stopIfTrue="1" operator="equal">
      <formula>"EL"</formula>
    </cfRule>
    <cfRule type="cellIs" dxfId="458" priority="1059" stopIfTrue="1" operator="equal">
      <formula>"CL"</formula>
    </cfRule>
    <cfRule type="containsText" dxfId="457" priority="1058" operator="containsText" text="OFF">
      <formula>NOT(ISERROR(SEARCH(("OFF"),(B9))))</formula>
    </cfRule>
    <cfRule type="containsText" dxfId="456" priority="1057" operator="containsText" text="AL">
      <formula>NOT(ISERROR(SEARCH(("AL"),(B9))))</formula>
    </cfRule>
    <cfRule type="cellIs" dxfId="455" priority="1056" operator="equal">
      <formula>"OFF"</formula>
    </cfRule>
    <cfRule type="containsText" dxfId="454" priority="1055" operator="containsText" text="OFF">
      <formula>NOT(ISERROR(SEARCH(("OFF"),(B9))))</formula>
    </cfRule>
    <cfRule type="containsText" dxfId="453" priority="1054" operator="containsText" text="AL">
      <formula>NOT(ISERROR(SEARCH(("AL"),(B9))))</formula>
    </cfRule>
    <cfRule type="cellIs" dxfId="452" priority="1053" stopIfTrue="1" operator="equal">
      <formula>"UL"</formula>
    </cfRule>
    <cfRule type="cellIs" dxfId="451" priority="1052" stopIfTrue="1" operator="equal">
      <formula>"EL"</formula>
    </cfRule>
    <cfRule type="containsText" dxfId="450" priority="1050" operator="containsText" text="OFF">
      <formula>NOT(ISERROR(SEARCH(("OFF"),(B9))))</formula>
    </cfRule>
    <cfRule type="containsText" dxfId="449" priority="1049" operator="containsText" text="AL">
      <formula>NOT(ISERROR(SEARCH(("AL"),(B9))))</formula>
    </cfRule>
    <cfRule type="cellIs" dxfId="448" priority="1048" stopIfTrue="1" operator="equal">
      <formula>"UL"</formula>
    </cfRule>
    <cfRule type="cellIs" dxfId="447" priority="1047" stopIfTrue="1" operator="equal">
      <formula>"EL"</formula>
    </cfRule>
    <cfRule type="cellIs" dxfId="446" priority="1046" stopIfTrue="1" operator="equal">
      <formula>"CL"</formula>
    </cfRule>
    <cfRule type="cellIs" dxfId="445" priority="1045" operator="equal">
      <formula>"OFF"</formula>
    </cfRule>
    <cfRule type="cellIs" dxfId="444" priority="1044" stopIfTrue="1" operator="equal">
      <formula>"UL"</formula>
    </cfRule>
    <cfRule type="cellIs" dxfId="443" priority="1043" stopIfTrue="1" operator="equal">
      <formula>"EL"</formula>
    </cfRule>
    <cfRule type="cellIs" dxfId="442" priority="1042" stopIfTrue="1" operator="equal">
      <formula>"CL"</formula>
    </cfRule>
    <cfRule type="cellIs" dxfId="441" priority="1041" stopIfTrue="1" operator="equal">
      <formula>"UL"</formula>
    </cfRule>
    <cfRule type="cellIs" dxfId="440" priority="1040" stopIfTrue="1" operator="equal">
      <formula>"EL"</formula>
    </cfRule>
    <cfRule type="containsText" dxfId="439" priority="1062" operator="containsText" text="AL">
      <formula>NOT(ISERROR(SEARCH(("AL"),(B9))))</formula>
    </cfRule>
    <cfRule type="cellIs" dxfId="438" priority="1039" stopIfTrue="1" operator="equal">
      <formula>"CL"</formula>
    </cfRule>
    <cfRule type="cellIs" dxfId="437" priority="1038" stopIfTrue="1" operator="equal">
      <formula>"UL"</formula>
    </cfRule>
    <cfRule type="cellIs" dxfId="436" priority="1037" stopIfTrue="1" operator="equal">
      <formula>"EL"</formula>
    </cfRule>
    <cfRule type="cellIs" dxfId="435" priority="1036" stopIfTrue="1" operator="equal">
      <formula>"CL"</formula>
    </cfRule>
    <cfRule type="containsText" dxfId="434" priority="1035" operator="containsText" text="OFF">
      <formula>NOT(ISERROR(SEARCH(("OFF"),(B9))))</formula>
    </cfRule>
    <cfRule type="containsText" dxfId="433" priority="1034" operator="containsText" text="AL">
      <formula>NOT(ISERROR(SEARCH(("AL"),(B9))))</formula>
    </cfRule>
    <cfRule type="cellIs" dxfId="432" priority="1033" stopIfTrue="1" operator="equal">
      <formula>"UL"</formula>
    </cfRule>
    <cfRule type="cellIs" dxfId="431" priority="1032" stopIfTrue="1" operator="equal">
      <formula>"EL"</formula>
    </cfRule>
    <cfRule type="cellIs" dxfId="430" priority="1031" stopIfTrue="1" operator="equal">
      <formula>"CL"</formula>
    </cfRule>
  </conditionalFormatting>
  <conditionalFormatting sqref="B3:E4">
    <cfRule type="cellIs" dxfId="429" priority="104" stopIfTrue="1" operator="equal">
      <formula>"UL"</formula>
    </cfRule>
    <cfRule type="containsText" dxfId="428" priority="105" operator="containsText" text="AL">
      <formula>NOT(ISERROR(SEARCH(("AL"),(B3))))</formula>
    </cfRule>
    <cfRule type="cellIs" dxfId="427" priority="103" stopIfTrue="1" operator="equal">
      <formula>"EL"</formula>
    </cfRule>
    <cfRule type="containsText" dxfId="426" priority="106" operator="containsText" text="OFF">
      <formula>NOT(ISERROR(SEARCH(("OFF"),(B3))))</formula>
    </cfRule>
    <cfRule type="cellIs" dxfId="425" priority="102" stopIfTrue="1" operator="equal">
      <formula>"CL"</formula>
    </cfRule>
    <cfRule type="cellIs" dxfId="424" priority="101" operator="equal">
      <formula>"OFF"</formula>
    </cfRule>
  </conditionalFormatting>
  <conditionalFormatting sqref="B9:E9">
    <cfRule type="cellIs" dxfId="423" priority="1070" stopIfTrue="1" operator="equal">
      <formula>"EL"</formula>
    </cfRule>
    <cfRule type="containsText" dxfId="422" priority="1072" operator="containsText" text="AL">
      <formula>NOT(ISERROR(SEARCH(("AL"),(B9))))</formula>
    </cfRule>
    <cfRule type="cellIs" dxfId="421" priority="1069" stopIfTrue="1" operator="equal">
      <formula>"CL"</formula>
    </cfRule>
    <cfRule type="containsText" dxfId="420" priority="1073" operator="containsText" text="OFF">
      <formula>NOT(ISERROR(SEARCH(("OFF"),(B9))))</formula>
    </cfRule>
    <cfRule type="cellIs" dxfId="419" priority="1071" stopIfTrue="1" operator="equal">
      <formula>"UL"</formula>
    </cfRule>
  </conditionalFormatting>
  <conditionalFormatting sqref="C5 E6">
    <cfRule type="cellIs" dxfId="418" priority="487" stopIfTrue="1" operator="equal">
      <formula>"CL"</formula>
    </cfRule>
    <cfRule type="cellIs" dxfId="417" priority="488" stopIfTrue="1" operator="equal">
      <formula>"EL"</formula>
    </cfRule>
    <cfRule type="cellIs" dxfId="416" priority="489" stopIfTrue="1" operator="equal">
      <formula>"UL"</formula>
    </cfRule>
    <cfRule type="containsText" dxfId="415" priority="490" operator="containsText" text="AL">
      <formula>NOT(ISERROR(SEARCH(("AL"),(C5))))</formula>
    </cfRule>
    <cfRule type="containsText" dxfId="414" priority="491" operator="containsText" text="OFF">
      <formula>NOT(ISERROR(SEARCH(("OFF"),(C5))))</formula>
    </cfRule>
    <cfRule type="cellIs" dxfId="413" priority="492" stopIfTrue="1" operator="equal">
      <formula>"CL"</formula>
    </cfRule>
    <cfRule type="cellIs" dxfId="412" priority="493" stopIfTrue="1" operator="equal">
      <formula>"EL"</formula>
    </cfRule>
    <cfRule type="cellIs" dxfId="411" priority="494" stopIfTrue="1" operator="equal">
      <formula>"UL"</formula>
    </cfRule>
  </conditionalFormatting>
  <conditionalFormatting sqref="C5">
    <cfRule type="cellIs" dxfId="410" priority="480" stopIfTrue="1" operator="equal">
      <formula>"EL"</formula>
    </cfRule>
    <cfRule type="containsText" dxfId="409" priority="486" operator="containsText" text="OFF">
      <formula>NOT(ISERROR(SEARCH(("OFF"),(C5))))</formula>
    </cfRule>
    <cfRule type="containsText" dxfId="408" priority="485" operator="containsText" text="AL">
      <formula>NOT(ISERROR(SEARCH(("AL"),(C5))))</formula>
    </cfRule>
    <cfRule type="containsText" dxfId="407" priority="478" operator="containsText" text="OFF">
      <formula>NOT(ISERROR(SEARCH(("OFF"),(C5))))</formula>
    </cfRule>
    <cfRule type="cellIs" dxfId="406" priority="479" stopIfTrue="1" operator="equal">
      <formula>"CL"</formula>
    </cfRule>
    <cfRule type="cellIs" dxfId="405" priority="481" stopIfTrue="1" operator="equal">
      <formula>"UL"</formula>
    </cfRule>
    <cfRule type="containsText" dxfId="404" priority="482" operator="containsText" text="AL">
      <formula>NOT(ISERROR(SEARCH(("AL"),(C5))))</formula>
    </cfRule>
    <cfRule type="containsText" dxfId="403" priority="483" operator="containsText" text="OFF">
      <formula>NOT(ISERROR(SEARCH(("OFF"),(C5))))</formula>
    </cfRule>
    <cfRule type="containsText" dxfId="402" priority="477" operator="containsText" text="AL">
      <formula>NOT(ISERROR(SEARCH(("AL"),(C5))))</formula>
    </cfRule>
    <cfRule type="cellIs" dxfId="401" priority="474" stopIfTrue="1" operator="equal">
      <formula>"CL"</formula>
    </cfRule>
    <cfRule type="cellIs" dxfId="400" priority="475" stopIfTrue="1" operator="equal">
      <formula>"EL"</formula>
    </cfRule>
    <cfRule type="cellIs" dxfId="399" priority="476" stopIfTrue="1" operator="equal">
      <formula>"UL"</formula>
    </cfRule>
    <cfRule type="cellIs" dxfId="398" priority="484" operator="equal">
      <formula>"OFF"</formula>
    </cfRule>
  </conditionalFormatting>
  <conditionalFormatting sqref="C6:C8">
    <cfRule type="cellIs" dxfId="397" priority="8" stopIfTrue="1" operator="equal">
      <formula>"CL"</formula>
    </cfRule>
    <cfRule type="cellIs" dxfId="396" priority="9" stopIfTrue="1" operator="equal">
      <formula>"EL"</formula>
    </cfRule>
    <cfRule type="cellIs" dxfId="395" priority="10" stopIfTrue="1" operator="equal">
      <formula>"UL"</formula>
    </cfRule>
    <cfRule type="containsText" dxfId="394" priority="11" operator="containsText" text="AL">
      <formula>NOT(ISERROR(SEARCH(("AL"),(C6))))</formula>
    </cfRule>
    <cfRule type="containsText" dxfId="393" priority="12" operator="containsText" text="OFF">
      <formula>NOT(ISERROR(SEARCH(("OFF"),(C6))))</formula>
    </cfRule>
    <cfRule type="cellIs" dxfId="392" priority="7" operator="equal">
      <formula>"OFF"</formula>
    </cfRule>
  </conditionalFormatting>
  <conditionalFormatting sqref="C5:D5">
    <cfRule type="containsText" dxfId="391" priority="24" operator="containsText" text="OFF">
      <formula>NOT(ISERROR(SEARCH(("OFF"),(C5))))</formula>
    </cfRule>
    <cfRule type="containsText" dxfId="390" priority="23" operator="containsText" text="AL">
      <formula>NOT(ISERROR(SEARCH(("AL"),(C5))))</formula>
    </cfRule>
    <cfRule type="cellIs" dxfId="389" priority="22" stopIfTrue="1" operator="equal">
      <formula>"UL"</formula>
    </cfRule>
    <cfRule type="cellIs" dxfId="388" priority="21" stopIfTrue="1" operator="equal">
      <formula>"EL"</formula>
    </cfRule>
    <cfRule type="cellIs" dxfId="387" priority="20" stopIfTrue="1" operator="equal">
      <formula>"CL"</formula>
    </cfRule>
    <cfRule type="cellIs" dxfId="386" priority="19" operator="equal">
      <formula>"OFF"</formula>
    </cfRule>
  </conditionalFormatting>
  <conditionalFormatting sqref="D6:D7">
    <cfRule type="cellIs" dxfId="385" priority="14" stopIfTrue="1" operator="equal">
      <formula>"CL"</formula>
    </cfRule>
    <cfRule type="cellIs" dxfId="384" priority="15" stopIfTrue="1" operator="equal">
      <formula>"EL"</formula>
    </cfRule>
    <cfRule type="cellIs" dxfId="383" priority="16" stopIfTrue="1" operator="equal">
      <formula>"UL"</formula>
    </cfRule>
    <cfRule type="cellIs" dxfId="382" priority="13" operator="equal">
      <formula>"OFF"</formula>
    </cfRule>
    <cfRule type="containsText" dxfId="381" priority="18" operator="containsText" text="OFF">
      <formula>NOT(ISERROR(SEARCH(("OFF"),(D6))))</formula>
    </cfRule>
    <cfRule type="containsText" dxfId="380" priority="17" operator="containsText" text="AL">
      <formula>NOT(ISERROR(SEARCH(("AL"),(D6))))</formula>
    </cfRule>
  </conditionalFormatting>
  <conditionalFormatting sqref="D8">
    <cfRule type="cellIs" dxfId="379" priority="538" stopIfTrue="1" operator="equal">
      <formula>"CL"</formula>
    </cfRule>
    <cfRule type="containsText" dxfId="378" priority="537" operator="containsText" text="OFF">
      <formula>NOT(ISERROR(SEARCH(("OFF"),(D8))))</formula>
    </cfRule>
    <cfRule type="containsText" dxfId="377" priority="536" operator="containsText" text="AL">
      <formula>NOT(ISERROR(SEARCH(("AL"),(D8))))</formula>
    </cfRule>
    <cfRule type="cellIs" dxfId="376" priority="535" operator="equal">
      <formula>"OFF"</formula>
    </cfRule>
    <cfRule type="containsText" dxfId="375" priority="534" operator="containsText" text="OFF">
      <formula>NOT(ISERROR(SEARCH(("OFF"),(D8))))</formula>
    </cfRule>
    <cfRule type="containsText" dxfId="374" priority="533" operator="containsText" text="AL">
      <formula>NOT(ISERROR(SEARCH(("AL"),(D8))))</formula>
    </cfRule>
    <cfRule type="cellIs" dxfId="373" priority="532" stopIfTrue="1" operator="equal">
      <formula>"UL"</formula>
    </cfRule>
    <cfRule type="cellIs" dxfId="372" priority="531" stopIfTrue="1" operator="equal">
      <formula>"EL"</formula>
    </cfRule>
    <cfRule type="cellIs" dxfId="371" priority="530" stopIfTrue="1" operator="equal">
      <formula>"CL"</formula>
    </cfRule>
    <cfRule type="containsText" dxfId="370" priority="529" operator="containsText" text="OFF">
      <formula>NOT(ISERROR(SEARCH(("OFF"),(D8))))</formula>
    </cfRule>
    <cfRule type="containsText" dxfId="369" priority="528" operator="containsText" text="AL">
      <formula>NOT(ISERROR(SEARCH(("AL"),(D8))))</formula>
    </cfRule>
    <cfRule type="cellIs" dxfId="368" priority="527" stopIfTrue="1" operator="equal">
      <formula>"UL"</formula>
    </cfRule>
    <cfRule type="cellIs" dxfId="367" priority="526" stopIfTrue="1" operator="equal">
      <formula>"EL"</formula>
    </cfRule>
    <cfRule type="cellIs" dxfId="366" priority="525" stopIfTrue="1" operator="equal">
      <formula>"CL"</formula>
    </cfRule>
    <cfRule type="cellIs" dxfId="365" priority="523" stopIfTrue="1" operator="equal">
      <formula>"UL"</formula>
    </cfRule>
    <cfRule type="cellIs" dxfId="364" priority="522" stopIfTrue="1" operator="equal">
      <formula>"EL"</formula>
    </cfRule>
    <cfRule type="cellIs" dxfId="363" priority="521" stopIfTrue="1" operator="equal">
      <formula>"CL"</formula>
    </cfRule>
    <cfRule type="cellIs" dxfId="362" priority="520" stopIfTrue="1" operator="equal">
      <formula>"UL"</formula>
    </cfRule>
    <cfRule type="cellIs" dxfId="361" priority="519" stopIfTrue="1" operator="equal">
      <formula>"EL"</formula>
    </cfRule>
    <cfRule type="cellIs" dxfId="360" priority="518" stopIfTrue="1" operator="equal">
      <formula>"CL"</formula>
    </cfRule>
    <cfRule type="cellIs" dxfId="359" priority="517" stopIfTrue="1" operator="equal">
      <formula>"UL"</formula>
    </cfRule>
    <cfRule type="cellIs" dxfId="358" priority="516" stopIfTrue="1" operator="equal">
      <formula>"EL"</formula>
    </cfRule>
    <cfRule type="cellIs" dxfId="357" priority="515" stopIfTrue="1" operator="equal">
      <formula>"CL"</formula>
    </cfRule>
    <cfRule type="containsText" dxfId="356" priority="514" operator="containsText" text="OFF">
      <formula>NOT(ISERROR(SEARCH(("OFF"),(D8))))</formula>
    </cfRule>
    <cfRule type="containsText" dxfId="355" priority="513" operator="containsText" text="AL">
      <formula>NOT(ISERROR(SEARCH(("AL"),(D8))))</formula>
    </cfRule>
    <cfRule type="cellIs" dxfId="354" priority="512" stopIfTrue="1" operator="equal">
      <formula>"UL"</formula>
    </cfRule>
    <cfRule type="cellIs" dxfId="353" priority="511" stopIfTrue="1" operator="equal">
      <formula>"EL"</formula>
    </cfRule>
    <cfRule type="cellIs" dxfId="352" priority="510" stopIfTrue="1" operator="equal">
      <formula>"CL"</formula>
    </cfRule>
    <cfRule type="containsText" dxfId="351" priority="509" operator="containsText" text="OFF">
      <formula>NOT(ISERROR(SEARCH(("OFF"),(D8))))</formula>
    </cfRule>
    <cfRule type="containsText" dxfId="350" priority="508" operator="containsText" text="AL">
      <formula>NOT(ISERROR(SEARCH(("AL"),(D8))))</formula>
    </cfRule>
    <cfRule type="cellIs" dxfId="349" priority="507" stopIfTrue="1" operator="equal">
      <formula>"UL"</formula>
    </cfRule>
    <cfRule type="cellIs" dxfId="348" priority="506" stopIfTrue="1" operator="equal">
      <formula>"EL"</formula>
    </cfRule>
    <cfRule type="cellIs" dxfId="347" priority="505" stopIfTrue="1" operator="equal">
      <formula>"CL"</formula>
    </cfRule>
    <cfRule type="cellIs" dxfId="346" priority="504" stopIfTrue="1" operator="equal">
      <formula>"UL"</formula>
    </cfRule>
    <cfRule type="cellIs" dxfId="345" priority="503" stopIfTrue="1" operator="equal">
      <formula>"EL"</formula>
    </cfRule>
    <cfRule type="cellIs" dxfId="344" priority="502" stopIfTrue="1" operator="equal">
      <formula>"CL"</formula>
    </cfRule>
    <cfRule type="containsText" dxfId="343" priority="501" operator="containsText" text="OFF">
      <formula>NOT(ISERROR(SEARCH(("OFF"),(D8))))</formula>
    </cfRule>
    <cfRule type="containsText" dxfId="342" priority="552" operator="containsText" text="OFF">
      <formula>NOT(ISERROR(SEARCH(("OFF"),(D8))))</formula>
    </cfRule>
    <cfRule type="containsText" dxfId="341" priority="551" operator="containsText" text="AL">
      <formula>NOT(ISERROR(SEARCH(("AL"),(D8))))</formula>
    </cfRule>
    <cfRule type="cellIs" dxfId="340" priority="550" stopIfTrue="1" operator="equal">
      <formula>"UL"</formula>
    </cfRule>
    <cfRule type="cellIs" dxfId="339" priority="549" stopIfTrue="1" operator="equal">
      <formula>"EL"</formula>
    </cfRule>
    <cfRule type="containsText" dxfId="338" priority="500" operator="containsText" text="AL">
      <formula>NOT(ISERROR(SEARCH(("AL"),(D8))))</formula>
    </cfRule>
    <cfRule type="cellIs" dxfId="337" priority="548" stopIfTrue="1" operator="equal">
      <formula>"CL"</formula>
    </cfRule>
    <cfRule type="containsText" dxfId="336" priority="547" operator="containsText" text="OFF">
      <formula>NOT(ISERROR(SEARCH(("OFF"),(D8))))</formula>
    </cfRule>
    <cfRule type="containsText" dxfId="335" priority="546" operator="containsText" text="AL">
      <formula>NOT(ISERROR(SEARCH(("AL"),(D8))))</formula>
    </cfRule>
    <cfRule type="cellIs" dxfId="334" priority="545" stopIfTrue="1" operator="equal">
      <formula>"UL"</formula>
    </cfRule>
    <cfRule type="cellIs" dxfId="333" priority="544" stopIfTrue="1" operator="equal">
      <formula>"EL"</formula>
    </cfRule>
    <cfRule type="cellIs" dxfId="332" priority="543" stopIfTrue="1" operator="equal">
      <formula>"CL"</formula>
    </cfRule>
    <cfRule type="containsText" dxfId="331" priority="542" operator="containsText" text="OFF">
      <formula>NOT(ISERROR(SEARCH(("OFF"),(D8))))</formula>
    </cfRule>
    <cfRule type="containsText" dxfId="330" priority="541" operator="containsText" text="AL">
      <formula>NOT(ISERROR(SEARCH(("AL"),(D8))))</formula>
    </cfRule>
    <cfRule type="cellIs" dxfId="329" priority="540" stopIfTrue="1" operator="equal">
      <formula>"UL"</formula>
    </cfRule>
    <cfRule type="cellIs" dxfId="328" priority="539" stopIfTrue="1" operator="equal">
      <formula>"EL"</formula>
    </cfRule>
    <cfRule type="cellIs" dxfId="327" priority="524" operator="equal">
      <formula>"OFF"</formula>
    </cfRule>
  </conditionalFormatting>
  <conditionalFormatting sqref="D8:E8">
    <cfRule type="cellIs" dxfId="326" priority="27" stopIfTrue="1" operator="equal">
      <formula>"EL"</formula>
    </cfRule>
    <cfRule type="cellIs" dxfId="325" priority="26" stopIfTrue="1" operator="equal">
      <formula>"CL"</formula>
    </cfRule>
    <cfRule type="cellIs" dxfId="324" priority="28" stopIfTrue="1" operator="equal">
      <formula>"UL"</formula>
    </cfRule>
    <cfRule type="containsText" dxfId="323" priority="29" operator="containsText" text="AL">
      <formula>NOT(ISERROR(SEARCH(("AL"),(D8))))</formula>
    </cfRule>
    <cfRule type="containsText" dxfId="322" priority="30" operator="containsText" text="OFF">
      <formula>NOT(ISERROR(SEARCH(("OFF"),(D8))))</formula>
    </cfRule>
  </conditionalFormatting>
  <conditionalFormatting sqref="E5:E6">
    <cfRule type="cellIs" dxfId="321" priority="31" operator="equal">
      <formula>"OFF"</formula>
    </cfRule>
  </conditionalFormatting>
  <conditionalFormatting sqref="E5:E7">
    <cfRule type="cellIs" dxfId="320" priority="32" stopIfTrue="1" operator="equal">
      <formula>"CL"</formula>
    </cfRule>
    <cfRule type="cellIs" dxfId="319" priority="33" stopIfTrue="1" operator="equal">
      <formula>"EL"</formula>
    </cfRule>
    <cfRule type="cellIs" dxfId="318" priority="34" stopIfTrue="1" operator="equal">
      <formula>"UL"</formula>
    </cfRule>
    <cfRule type="containsText" dxfId="317" priority="35" operator="containsText" text="AL">
      <formula>NOT(ISERROR(SEARCH(("AL"),(E5))))</formula>
    </cfRule>
    <cfRule type="containsText" dxfId="316" priority="36" operator="containsText" text="OFF">
      <formula>NOT(ISERROR(SEARCH(("OFF"),(E5))))</formula>
    </cfRule>
  </conditionalFormatting>
  <conditionalFormatting sqref="E6:E7">
    <cfRule type="cellIs" dxfId="315" priority="456" operator="equal">
      <formula>"OFF"</formula>
    </cfRule>
    <cfRule type="containsText" dxfId="314" priority="472" operator="containsText" text="AL">
      <formula>NOT(ISERROR(SEARCH(("AL"),(E6))))</formula>
    </cfRule>
    <cfRule type="containsText" dxfId="313" priority="473" operator="containsText" text="OFF">
      <formula>NOT(ISERROR(SEARCH(("OFF"),(E6))))</formula>
    </cfRule>
  </conditionalFormatting>
  <conditionalFormatting sqref="E7">
    <cfRule type="cellIs" dxfId="312" priority="426" stopIfTrue="1" operator="equal">
      <formula>"CL"</formula>
    </cfRule>
    <cfRule type="cellIs" dxfId="311" priority="427" stopIfTrue="1" operator="equal">
      <formula>"EL"</formula>
    </cfRule>
    <cfRule type="cellIs" dxfId="310" priority="428" stopIfTrue="1" operator="equal">
      <formula>"UL"</formula>
    </cfRule>
    <cfRule type="containsText" dxfId="309" priority="429" operator="containsText" text="AL">
      <formula>NOT(ISERROR(SEARCH(("AL"),(E7))))</formula>
    </cfRule>
    <cfRule type="containsText" dxfId="308" priority="430" operator="containsText" text="OFF">
      <formula>NOT(ISERROR(SEARCH(("OFF"),(E7))))</formula>
    </cfRule>
    <cfRule type="cellIs" dxfId="307" priority="431" stopIfTrue="1" operator="equal">
      <formula>"CL"</formula>
    </cfRule>
    <cfRule type="cellIs" dxfId="306" priority="432" stopIfTrue="1" operator="equal">
      <formula>"EL"</formula>
    </cfRule>
    <cfRule type="cellIs" dxfId="305" priority="433" stopIfTrue="1" operator="equal">
      <formula>"UL"</formula>
    </cfRule>
    <cfRule type="containsText" dxfId="304" priority="434" operator="containsText" text="AL">
      <formula>NOT(ISERROR(SEARCH(("AL"),(E7))))</formula>
    </cfRule>
    <cfRule type="containsText" dxfId="303" priority="435" operator="containsText" text="OFF">
      <formula>NOT(ISERROR(SEARCH(("OFF"),(E7))))</formula>
    </cfRule>
    <cfRule type="cellIs" dxfId="302" priority="436" stopIfTrue="1" operator="equal">
      <formula>"CL"</formula>
    </cfRule>
    <cfRule type="cellIs" dxfId="301" priority="437" stopIfTrue="1" operator="equal">
      <formula>"EL"</formula>
    </cfRule>
    <cfRule type="cellIs" dxfId="300" priority="438" stopIfTrue="1" operator="equal">
      <formula>"UL"</formula>
    </cfRule>
    <cfRule type="cellIs" dxfId="299" priority="439" stopIfTrue="1" operator="equal">
      <formula>"CL"</formula>
    </cfRule>
    <cfRule type="cellIs" dxfId="298" priority="440" stopIfTrue="1" operator="equal">
      <formula>"EL"</formula>
    </cfRule>
    <cfRule type="cellIs" dxfId="297" priority="441" stopIfTrue="1" operator="equal">
      <formula>"UL"</formula>
    </cfRule>
    <cfRule type="cellIs" dxfId="296" priority="442" stopIfTrue="1" operator="equal">
      <formula>"CL"</formula>
    </cfRule>
    <cfRule type="cellIs" dxfId="295" priority="443" stopIfTrue="1" operator="equal">
      <formula>"EL"</formula>
    </cfRule>
    <cfRule type="cellIs" dxfId="294" priority="444" stopIfTrue="1" operator="equal">
      <formula>"UL"</formula>
    </cfRule>
    <cfRule type="cellIs" dxfId="293" priority="445" operator="equal">
      <formula>"OFF"</formula>
    </cfRule>
    <cfRule type="cellIs" dxfId="292" priority="446" stopIfTrue="1" operator="equal">
      <formula>"CL"</formula>
    </cfRule>
    <cfRule type="cellIs" dxfId="291" priority="447" stopIfTrue="1" operator="equal">
      <formula>"EL"</formula>
    </cfRule>
    <cfRule type="cellIs" dxfId="290" priority="448" stopIfTrue="1" operator="equal">
      <formula>"UL"</formula>
    </cfRule>
    <cfRule type="containsText" dxfId="289" priority="449" operator="containsText" text="AL">
      <formula>NOT(ISERROR(SEARCH(("AL"),(E7))))</formula>
    </cfRule>
    <cfRule type="containsText" dxfId="288" priority="450" operator="containsText" text="OFF">
      <formula>NOT(ISERROR(SEARCH(("OFF"),(E7))))</formula>
    </cfRule>
    <cfRule type="cellIs" dxfId="287" priority="451" stopIfTrue="1" operator="equal">
      <formula>"CL"</formula>
    </cfRule>
    <cfRule type="cellIs" dxfId="286" priority="452" stopIfTrue="1" operator="equal">
      <formula>"EL"</formula>
    </cfRule>
    <cfRule type="cellIs" dxfId="285" priority="453" stopIfTrue="1" operator="equal">
      <formula>"UL"</formula>
    </cfRule>
    <cfRule type="containsText" dxfId="284" priority="454" operator="containsText" text="AL">
      <formula>NOT(ISERROR(SEARCH(("AL"),(E7))))</formula>
    </cfRule>
    <cfRule type="containsText" dxfId="283" priority="455" operator="containsText" text="OFF">
      <formula>NOT(ISERROR(SEARCH(("OFF"),(E7))))</formula>
    </cfRule>
    <cfRule type="containsText" dxfId="282" priority="457" operator="containsText" text="AL">
      <formula>NOT(ISERROR(SEARCH(("AL"),(E7))))</formula>
    </cfRule>
    <cfRule type="containsText" dxfId="281" priority="458" operator="containsText" text="OFF">
      <formula>NOT(ISERROR(SEARCH(("OFF"),(E7))))</formula>
    </cfRule>
    <cfRule type="cellIs" dxfId="280" priority="459" stopIfTrue="1" operator="equal">
      <formula>"CL"</formula>
    </cfRule>
    <cfRule type="cellIs" dxfId="279" priority="460" stopIfTrue="1" operator="equal">
      <formula>"EL"</formula>
    </cfRule>
    <cfRule type="cellIs" dxfId="278" priority="461" stopIfTrue="1" operator="equal">
      <formula>"UL"</formula>
    </cfRule>
    <cfRule type="containsText" dxfId="277" priority="462" operator="containsText" text="AL">
      <formula>NOT(ISERROR(SEARCH(("AL"),(E7))))</formula>
    </cfRule>
    <cfRule type="containsText" dxfId="276" priority="463" operator="containsText" text="OFF">
      <formula>NOT(ISERROR(SEARCH(("OFF"),(E7))))</formula>
    </cfRule>
    <cfRule type="cellIs" dxfId="275" priority="464" stopIfTrue="1" operator="equal">
      <formula>"CL"</formula>
    </cfRule>
    <cfRule type="cellIs" dxfId="274" priority="465" stopIfTrue="1" operator="equal">
      <formula>"EL"</formula>
    </cfRule>
    <cfRule type="cellIs" dxfId="273" priority="466" stopIfTrue="1" operator="equal">
      <formula>"UL"</formula>
    </cfRule>
    <cfRule type="containsText" dxfId="272" priority="467" operator="containsText" text="AL">
      <formula>NOT(ISERROR(SEARCH(("AL"),(E7))))</formula>
    </cfRule>
    <cfRule type="containsText" dxfId="271" priority="468" operator="containsText" text="OFF">
      <formula>NOT(ISERROR(SEARCH(("OFF"),(E7))))</formula>
    </cfRule>
    <cfRule type="cellIs" dxfId="270" priority="469" stopIfTrue="1" operator="equal">
      <formula>"CL"</formula>
    </cfRule>
    <cfRule type="cellIs" dxfId="269" priority="470" stopIfTrue="1" operator="equal">
      <formula>"EL"</formula>
    </cfRule>
    <cfRule type="cellIs" dxfId="268" priority="471" stopIfTrue="1" operator="equal">
      <formula>"UL"</formula>
    </cfRule>
    <cfRule type="containsText" dxfId="267" priority="421" operator="containsText" text="AL">
      <formula>NOT(ISERROR(SEARCH(("AL"),(E7))))</formula>
    </cfRule>
    <cfRule type="containsText" dxfId="266" priority="422" operator="containsText" text="OFF">
      <formula>NOT(ISERROR(SEARCH(("OFF"),(E7))))</formula>
    </cfRule>
    <cfRule type="cellIs" dxfId="265" priority="423" stopIfTrue="1" operator="equal">
      <formula>"CL"</formula>
    </cfRule>
    <cfRule type="cellIs" dxfId="264" priority="424" stopIfTrue="1" operator="equal">
      <formula>"EL"</formula>
    </cfRule>
    <cfRule type="cellIs" dxfId="263" priority="425" stopIfTrue="1" operator="equal">
      <formula>"UL"</formula>
    </cfRule>
  </conditionalFormatting>
  <conditionalFormatting sqref="E8">
    <cfRule type="cellIs" dxfId="262" priority="25" operator="equal">
      <formula>"OFF"</formula>
    </cfRule>
  </conditionalFormatting>
  <conditionalFormatting sqref="E9">
    <cfRule type="cellIs" dxfId="261" priority="1318" stopIfTrue="1" operator="equal">
      <formula>"CL"</formula>
    </cfRule>
    <cfRule type="cellIs" dxfId="260" priority="1287" stopIfTrue="1" operator="equal">
      <formula>"UL"</formula>
    </cfRule>
    <cfRule type="cellIs" dxfId="259" priority="1286" stopIfTrue="1" operator="equal">
      <formula>"EL"</formula>
    </cfRule>
    <cfRule type="cellIs" dxfId="258" priority="1285" stopIfTrue="1" operator="equal">
      <formula>"CL"</formula>
    </cfRule>
    <cfRule type="cellIs" dxfId="257" priority="1284" stopIfTrue="1" operator="equal">
      <formula>"UL"</formula>
    </cfRule>
    <cfRule type="cellIs" dxfId="256" priority="1283" stopIfTrue="1" operator="equal">
      <formula>"EL"</formula>
    </cfRule>
    <cfRule type="cellIs" dxfId="255" priority="1282" stopIfTrue="1" operator="equal">
      <formula>"CL"</formula>
    </cfRule>
    <cfRule type="containsText" dxfId="254" priority="1281" operator="containsText" text="OFF">
      <formula>NOT(ISERROR(SEARCH(("OFF"),(E9))))</formula>
    </cfRule>
    <cfRule type="containsText" dxfId="253" priority="1280" operator="containsText" text="AL">
      <formula>NOT(ISERROR(SEARCH(("AL"),(E9))))</formula>
    </cfRule>
    <cfRule type="cellIs" dxfId="252" priority="1301" stopIfTrue="1" operator="equal">
      <formula>"CL"</formula>
    </cfRule>
    <cfRule type="cellIs" dxfId="251" priority="1292" stopIfTrue="1" operator="equal">
      <formula>"UL"</formula>
    </cfRule>
    <cfRule type="cellIs" dxfId="250" priority="1291" stopIfTrue="1" operator="equal">
      <formula>"EL"</formula>
    </cfRule>
    <cfRule type="containsText" dxfId="249" priority="1288" operator="containsText" text="AL">
      <formula>NOT(ISERROR(SEARCH(("AL"),(E9))))</formula>
    </cfRule>
    <cfRule type="cellIs" dxfId="248" priority="1290" stopIfTrue="1" operator="equal">
      <formula>"CL"</formula>
    </cfRule>
    <cfRule type="containsText" dxfId="247" priority="1331" operator="containsText" text="AL">
      <formula>NOT(ISERROR(SEARCH(("AL"),(E9))))</formula>
    </cfRule>
    <cfRule type="cellIs" dxfId="246" priority="1330" stopIfTrue="1" operator="equal">
      <formula>"UL"</formula>
    </cfRule>
    <cfRule type="cellIs" dxfId="245" priority="1329" stopIfTrue="1" operator="equal">
      <formula>"EL"</formula>
    </cfRule>
    <cfRule type="cellIs" dxfId="244" priority="1328" stopIfTrue="1" operator="equal">
      <formula>"CL"</formula>
    </cfRule>
    <cfRule type="containsText" dxfId="243" priority="1327" operator="containsText" text="OFF">
      <formula>NOT(ISERROR(SEARCH(("OFF"),(E9))))</formula>
    </cfRule>
    <cfRule type="containsText" dxfId="242" priority="1326" operator="containsText" text="AL">
      <formula>NOT(ISERROR(SEARCH(("AL"),(E9))))</formula>
    </cfRule>
    <cfRule type="cellIs" dxfId="241" priority="1325" stopIfTrue="1" operator="equal">
      <formula>"UL"</formula>
    </cfRule>
    <cfRule type="cellIs" dxfId="240" priority="1324" stopIfTrue="1" operator="equal">
      <formula>"EL"</formula>
    </cfRule>
    <cfRule type="cellIs" dxfId="239" priority="1323" stopIfTrue="1" operator="equal">
      <formula>"CL"</formula>
    </cfRule>
    <cfRule type="containsText" dxfId="238" priority="1322" operator="containsText" text="OFF">
      <formula>NOT(ISERROR(SEARCH(("OFF"),(E9))))</formula>
    </cfRule>
    <cfRule type="containsText" dxfId="237" priority="1321" operator="containsText" text="AL">
      <formula>NOT(ISERROR(SEARCH(("AL"),(E9))))</formula>
    </cfRule>
    <cfRule type="cellIs" dxfId="236" priority="1320" stopIfTrue="1" operator="equal">
      <formula>"UL"</formula>
    </cfRule>
    <cfRule type="cellIs" dxfId="235" priority="1319" stopIfTrue="1" operator="equal">
      <formula>"EL"</formula>
    </cfRule>
    <cfRule type="containsText" dxfId="234" priority="1289" operator="containsText" text="OFF">
      <formula>NOT(ISERROR(SEARCH(("OFF"),(E9))))</formula>
    </cfRule>
    <cfRule type="containsText" dxfId="233" priority="1317" operator="containsText" text="OFF">
      <formula>NOT(ISERROR(SEARCH(("OFF"),(E9))))</formula>
    </cfRule>
    <cfRule type="containsText" dxfId="232" priority="1316" operator="containsText" text="AL">
      <formula>NOT(ISERROR(SEARCH(("AL"),(E9))))</formula>
    </cfRule>
    <cfRule type="containsText" dxfId="231" priority="1332" operator="containsText" text="OFF">
      <formula>NOT(ISERROR(SEARCH(("OFF"),(E9))))</formula>
    </cfRule>
    <cfRule type="cellIs" dxfId="230" priority="1315" operator="equal">
      <formula>"OFF"</formula>
    </cfRule>
    <cfRule type="containsText" dxfId="229" priority="1314" operator="containsText" text="OFF">
      <formula>NOT(ISERROR(SEARCH(("OFF"),(E9))))</formula>
    </cfRule>
    <cfRule type="containsText" dxfId="228" priority="1313" operator="containsText" text="AL">
      <formula>NOT(ISERROR(SEARCH(("AL"),(E9))))</formula>
    </cfRule>
    <cfRule type="cellIs" dxfId="227" priority="1312" stopIfTrue="1" operator="equal">
      <formula>"UL"</formula>
    </cfRule>
    <cfRule type="cellIs" dxfId="226" priority="1311" stopIfTrue="1" operator="equal">
      <formula>"EL"</formula>
    </cfRule>
    <cfRule type="cellIs" dxfId="225" priority="1310" stopIfTrue="1" operator="equal">
      <formula>"CL"</formula>
    </cfRule>
    <cfRule type="containsText" dxfId="224" priority="1309" operator="containsText" text="OFF">
      <formula>NOT(ISERROR(SEARCH(("OFF"),(E9))))</formula>
    </cfRule>
    <cfRule type="containsText" dxfId="223" priority="1308" operator="containsText" text="AL">
      <formula>NOT(ISERROR(SEARCH(("AL"),(E9))))</formula>
    </cfRule>
    <cfRule type="cellIs" dxfId="222" priority="1307" stopIfTrue="1" operator="equal">
      <formula>"UL"</formula>
    </cfRule>
    <cfRule type="cellIs" dxfId="221" priority="1306" stopIfTrue="1" operator="equal">
      <formula>"EL"</formula>
    </cfRule>
    <cfRule type="cellIs" dxfId="220" priority="1305" stopIfTrue="1" operator="equal">
      <formula>"CL"</formula>
    </cfRule>
    <cfRule type="cellIs" dxfId="219" priority="1304" operator="equal">
      <formula>"OFF"</formula>
    </cfRule>
    <cfRule type="cellIs" dxfId="218" priority="1303" stopIfTrue="1" operator="equal">
      <formula>"UL"</formula>
    </cfRule>
    <cfRule type="cellIs" dxfId="217" priority="1302" stopIfTrue="1" operator="equal">
      <formula>"EL"</formula>
    </cfRule>
    <cfRule type="cellIs" dxfId="216" priority="1300" stopIfTrue="1" operator="equal">
      <formula>"UL"</formula>
    </cfRule>
    <cfRule type="cellIs" dxfId="215" priority="1299" stopIfTrue="1" operator="equal">
      <formula>"EL"</formula>
    </cfRule>
    <cfRule type="cellIs" dxfId="214" priority="1298" stopIfTrue="1" operator="equal">
      <formula>"CL"</formula>
    </cfRule>
    <cfRule type="cellIs" dxfId="213" priority="1297" stopIfTrue="1" operator="equal">
      <formula>"UL"</formula>
    </cfRule>
    <cfRule type="cellIs" dxfId="212" priority="1296" stopIfTrue="1" operator="equal">
      <formula>"EL"</formula>
    </cfRule>
    <cfRule type="cellIs" dxfId="211" priority="1295" stopIfTrue="1" operator="equal">
      <formula>"CL"</formula>
    </cfRule>
    <cfRule type="containsText" dxfId="210" priority="1294" operator="containsText" text="OFF">
      <formula>NOT(ISERROR(SEARCH(("OFF"),(E9))))</formula>
    </cfRule>
    <cfRule type="containsText" dxfId="209" priority="1293" operator="containsText" text="AL">
      <formula>NOT(ISERROR(SEARCH(("AL"),(E9))))</formula>
    </cfRule>
  </conditionalFormatting>
  <conditionalFormatting sqref="F3">
    <cfRule type="cellIs" dxfId="208" priority="615" stopIfTrue="1" operator="equal">
      <formula>"EL"</formula>
    </cfRule>
    <cfRule type="cellIs" dxfId="207" priority="616" stopIfTrue="1" operator="equal">
      <formula>"UL"</formula>
    </cfRule>
    <cfRule type="containsText" dxfId="206" priority="567" operator="containsText" text="OFF">
      <formula>NOT(ISERROR(SEARCH(("OFF"),(F3))))</formula>
    </cfRule>
    <cfRule type="containsText" dxfId="205" priority="563" operator="containsText" text="AL">
      <formula>NOT(ISERROR(SEARCH(("AL"),(F3))))</formula>
    </cfRule>
    <cfRule type="containsText" dxfId="204" priority="564" operator="containsText" text="OFF">
      <formula>NOT(ISERROR(SEARCH(("OFF"),(F3))))</formula>
    </cfRule>
    <cfRule type="cellIs" dxfId="203" priority="565" operator="equal">
      <formula>"OFF"</formula>
    </cfRule>
    <cfRule type="containsText" dxfId="202" priority="566" operator="containsText" text="AL">
      <formula>NOT(ISERROR(SEARCH(("AL"),(F3))))</formula>
    </cfRule>
    <cfRule type="cellIs" dxfId="201" priority="568" stopIfTrue="1" operator="equal">
      <formula>"CL"</formula>
    </cfRule>
    <cfRule type="cellIs" dxfId="200" priority="569" stopIfTrue="1" operator="equal">
      <formula>"EL"</formula>
    </cfRule>
    <cfRule type="cellIs" dxfId="199" priority="570" stopIfTrue="1" operator="equal">
      <formula>"UL"</formula>
    </cfRule>
    <cfRule type="containsText" dxfId="198" priority="571" operator="containsText" text="AL">
      <formula>NOT(ISERROR(SEARCH(("AL"),(F3))))</formula>
    </cfRule>
    <cfRule type="containsText" dxfId="197" priority="572" operator="containsText" text="OFF">
      <formula>NOT(ISERROR(SEARCH(("OFF"),(F3))))</formula>
    </cfRule>
    <cfRule type="cellIs" dxfId="196" priority="573" stopIfTrue="1" operator="equal">
      <formula>"CL"</formula>
    </cfRule>
    <cfRule type="cellIs" dxfId="195" priority="574" stopIfTrue="1" operator="equal">
      <formula>"EL"</formula>
    </cfRule>
    <cfRule type="cellIs" dxfId="194" priority="575" stopIfTrue="1" operator="equal">
      <formula>"UL"</formula>
    </cfRule>
    <cfRule type="containsText" dxfId="193" priority="576" operator="containsText" text="AL">
      <formula>NOT(ISERROR(SEARCH(("AL"),(F3))))</formula>
    </cfRule>
    <cfRule type="containsText" dxfId="192" priority="577" operator="containsText" text="OFF">
      <formula>NOT(ISERROR(SEARCH(("OFF"),(F3))))</formula>
    </cfRule>
    <cfRule type="cellIs" dxfId="191" priority="578" stopIfTrue="1" operator="equal">
      <formula>"CL"</formula>
    </cfRule>
    <cfRule type="cellIs" dxfId="190" priority="579" stopIfTrue="1" operator="equal">
      <formula>"EL"</formula>
    </cfRule>
    <cfRule type="cellIs" dxfId="189" priority="580" stopIfTrue="1" operator="equal">
      <formula>"UL"</formula>
    </cfRule>
    <cfRule type="containsText" dxfId="188" priority="581" operator="containsText" text="AL">
      <formula>NOT(ISERROR(SEARCH(("AL"),(F3))))</formula>
    </cfRule>
    <cfRule type="containsText" dxfId="187" priority="582" operator="containsText" text="OFF">
      <formula>NOT(ISERROR(SEARCH(("OFF"),(F3))))</formula>
    </cfRule>
    <cfRule type="cellIs" dxfId="186" priority="583" stopIfTrue="1" operator="equal">
      <formula>"CL"</formula>
    </cfRule>
    <cfRule type="cellIs" dxfId="185" priority="584" stopIfTrue="1" operator="equal">
      <formula>"EL"</formula>
    </cfRule>
    <cfRule type="cellIs" dxfId="184" priority="585" stopIfTrue="1" operator="equal">
      <formula>"UL"</formula>
    </cfRule>
    <cfRule type="containsText" dxfId="183" priority="586" operator="containsText" text="AL">
      <formula>NOT(ISERROR(SEARCH(("AL"),(F3))))</formula>
    </cfRule>
    <cfRule type="containsText" dxfId="182" priority="587" operator="containsText" text="OFF">
      <formula>NOT(ISERROR(SEARCH(("OFF"),(F3))))</formula>
    </cfRule>
    <cfRule type="cellIs" dxfId="181" priority="588" stopIfTrue="1" operator="equal">
      <formula>"CL"</formula>
    </cfRule>
    <cfRule type="cellIs" dxfId="180" priority="589" stopIfTrue="1" operator="equal">
      <formula>"EL"</formula>
    </cfRule>
    <cfRule type="cellIs" dxfId="179" priority="590" stopIfTrue="1" operator="equal">
      <formula>"UL"</formula>
    </cfRule>
    <cfRule type="containsText" dxfId="178" priority="591" operator="containsText" text="AL">
      <formula>NOT(ISERROR(SEARCH(("AL"),(F3))))</formula>
    </cfRule>
    <cfRule type="containsText" dxfId="177" priority="592" operator="containsText" text="OFF">
      <formula>NOT(ISERROR(SEARCH(("OFF"),(F3))))</formula>
    </cfRule>
    <cfRule type="containsText" dxfId="176" priority="593" operator="containsText" text="AL">
      <formula>NOT(ISERROR(SEARCH(("AL"),(F3))))</formula>
    </cfRule>
    <cfRule type="containsText" dxfId="175" priority="594" operator="containsText" text="OFF">
      <formula>NOT(ISERROR(SEARCH(("OFF"),(F3))))</formula>
    </cfRule>
    <cfRule type="cellIs" dxfId="174" priority="595" stopIfTrue="1" operator="equal">
      <formula>"CL"</formula>
    </cfRule>
    <cfRule type="cellIs" dxfId="173" priority="596" stopIfTrue="1" operator="equal">
      <formula>"EL"</formula>
    </cfRule>
    <cfRule type="cellIs" dxfId="172" priority="597" stopIfTrue="1" operator="equal">
      <formula>"UL"</formula>
    </cfRule>
    <cfRule type="containsText" dxfId="171" priority="598" operator="containsText" text="AL">
      <formula>NOT(ISERROR(SEARCH(("AL"),(F3))))</formula>
    </cfRule>
    <cfRule type="containsText" dxfId="170" priority="599" operator="containsText" text="OFF">
      <formula>NOT(ISERROR(SEARCH(("OFF"),(F3))))</formula>
    </cfRule>
    <cfRule type="containsText" dxfId="169" priority="600" operator="containsText" text="AL">
      <formula>NOT(ISERROR(SEARCH(("AL"),(F3))))</formula>
    </cfRule>
    <cfRule type="containsText" dxfId="168" priority="601" operator="containsText" text="OFF">
      <formula>NOT(ISERROR(SEARCH(("OFF"),(F3))))</formula>
    </cfRule>
    <cfRule type="cellIs" dxfId="167" priority="602" stopIfTrue="1" operator="equal">
      <formula>"CL"</formula>
    </cfRule>
    <cfRule type="cellIs" dxfId="166" priority="603" stopIfTrue="1" operator="equal">
      <formula>"EL"</formula>
    </cfRule>
    <cfRule type="cellIs" dxfId="165" priority="604" stopIfTrue="1" operator="equal">
      <formula>"UL"</formula>
    </cfRule>
    <cfRule type="containsText" dxfId="164" priority="605" operator="containsText" text="AL">
      <formula>NOT(ISERROR(SEARCH(("AL"),(F3))))</formula>
    </cfRule>
    <cfRule type="containsText" dxfId="163" priority="606" operator="containsText" text="OFF">
      <formula>NOT(ISERROR(SEARCH(("OFF"),(F3))))</formula>
    </cfRule>
    <cfRule type="cellIs" dxfId="162" priority="607" stopIfTrue="1" operator="equal">
      <formula>"CL"</formula>
    </cfRule>
    <cfRule type="cellIs" dxfId="161" priority="608" stopIfTrue="1" operator="equal">
      <formula>"EL"</formula>
    </cfRule>
    <cfRule type="cellIs" dxfId="160" priority="609" stopIfTrue="1" operator="equal">
      <formula>"UL"</formula>
    </cfRule>
    <cfRule type="containsText" dxfId="159" priority="610" operator="containsText" text="AL">
      <formula>NOT(ISERROR(SEARCH(("AL"),(F3))))</formula>
    </cfRule>
    <cfRule type="containsText" dxfId="158" priority="611" operator="containsText" text="OFF">
      <formula>NOT(ISERROR(SEARCH(("OFF"),(F3))))</formula>
    </cfRule>
    <cfRule type="containsText" dxfId="157" priority="612" operator="containsText" text="AL">
      <formula>NOT(ISERROR(SEARCH(("AL"),(F3))))</formula>
    </cfRule>
    <cfRule type="containsText" dxfId="156" priority="613" operator="containsText" text="OFF">
      <formula>NOT(ISERROR(SEARCH(("OFF"),(F3))))</formula>
    </cfRule>
    <cfRule type="cellIs" dxfId="155" priority="614" stopIfTrue="1" operator="equal">
      <formula>"CL"</formula>
    </cfRule>
  </conditionalFormatting>
  <conditionalFormatting sqref="F3:F8">
    <cfRule type="cellIs" dxfId="154" priority="43" operator="equal">
      <formula>"OFF"</formula>
    </cfRule>
    <cfRule type="cellIs" dxfId="153" priority="92" stopIfTrue="1" operator="equal">
      <formula>"CL"</formula>
    </cfRule>
    <cfRule type="cellIs" dxfId="152" priority="93" stopIfTrue="1" operator="equal">
      <formula>"EL"</formula>
    </cfRule>
    <cfRule type="cellIs" dxfId="151" priority="94" stopIfTrue="1" operator="equal">
      <formula>"UL"</formula>
    </cfRule>
  </conditionalFormatting>
  <conditionalFormatting sqref="F4:F8">
    <cfRule type="containsText" dxfId="150" priority="50" operator="containsText" text="OFF">
      <formula>NOT(ISERROR(SEARCH(("OFF"),(F4))))</formula>
    </cfRule>
    <cfRule type="containsText" dxfId="149" priority="49" operator="containsText" text="AL">
      <formula>NOT(ISERROR(SEARCH(("AL"),(F4))))</formula>
    </cfRule>
    <cfRule type="cellIs" dxfId="148" priority="48" stopIfTrue="1" operator="equal">
      <formula>"UL"</formula>
    </cfRule>
    <cfRule type="cellIs" dxfId="147" priority="47" stopIfTrue="1" operator="equal">
      <formula>"EL"</formula>
    </cfRule>
    <cfRule type="cellIs" dxfId="146" priority="46" stopIfTrue="1" operator="equal">
      <formula>"CL"</formula>
    </cfRule>
    <cfRule type="containsText" dxfId="145" priority="45" operator="containsText" text="OFF">
      <formula>NOT(ISERROR(SEARCH(("OFF"),(F4))))</formula>
    </cfRule>
    <cfRule type="containsText" dxfId="144" priority="44" operator="containsText" text="AL">
      <formula>NOT(ISERROR(SEARCH(("AL"),(F4))))</formula>
    </cfRule>
    <cfRule type="containsText" dxfId="143" priority="65" operator="containsText" text="OFF">
      <formula>NOT(ISERROR(SEARCH(("OFF"),(F4))))</formula>
    </cfRule>
    <cfRule type="containsText" dxfId="142" priority="42" operator="containsText" text="OFF">
      <formula>NOT(ISERROR(SEARCH(("OFF"),(F4))))</formula>
    </cfRule>
    <cfRule type="cellIs" dxfId="141" priority="40" stopIfTrue="1" operator="equal">
      <formula>"UL"</formula>
    </cfRule>
    <cfRule type="cellIs" dxfId="140" priority="39" stopIfTrue="1" operator="equal">
      <formula>"EL"</formula>
    </cfRule>
    <cfRule type="cellIs" dxfId="139" priority="38" stopIfTrue="1" operator="equal">
      <formula>"CL"</formula>
    </cfRule>
    <cfRule type="cellIs" dxfId="138" priority="37" operator="equal">
      <formula>"OFF"</formula>
    </cfRule>
    <cfRule type="containsText" dxfId="137" priority="41" operator="containsText" text="AL">
      <formula>NOT(ISERROR(SEARCH(("AL"),(F4))))</formula>
    </cfRule>
    <cfRule type="cellIs" dxfId="136" priority="74" stopIfTrue="1" operator="equal">
      <formula>"EL"</formula>
    </cfRule>
    <cfRule type="containsText" dxfId="135" priority="91" operator="containsText" text="OFF">
      <formula>NOT(ISERROR(SEARCH(("OFF"),(F4))))</formula>
    </cfRule>
    <cfRule type="containsText" dxfId="134" priority="90" operator="containsText" text="AL">
      <formula>NOT(ISERROR(SEARCH(("AL"),(F4))))</formula>
    </cfRule>
    <cfRule type="containsText" dxfId="133" priority="89" operator="containsText" text="OFF">
      <formula>NOT(ISERROR(SEARCH(("OFF"),(F4))))</formula>
    </cfRule>
    <cfRule type="containsText" dxfId="132" priority="88" operator="containsText" text="AL">
      <formula>NOT(ISERROR(SEARCH(("AL"),(F4))))</formula>
    </cfRule>
    <cfRule type="cellIs" dxfId="131" priority="87" stopIfTrue="1" operator="equal">
      <formula>"UL"</formula>
    </cfRule>
    <cfRule type="cellIs" dxfId="130" priority="86" stopIfTrue="1" operator="equal">
      <formula>"EL"</formula>
    </cfRule>
    <cfRule type="cellIs" dxfId="129" priority="85" stopIfTrue="1" operator="equal">
      <formula>"CL"</formula>
    </cfRule>
    <cfRule type="containsText" dxfId="128" priority="84" operator="containsText" text="OFF">
      <formula>NOT(ISERROR(SEARCH(("OFF"),(F4))))</formula>
    </cfRule>
    <cfRule type="containsText" dxfId="127" priority="83" operator="containsText" text="AL">
      <formula>NOT(ISERROR(SEARCH(("AL"),(F4))))</formula>
    </cfRule>
    <cfRule type="cellIs" dxfId="126" priority="82" stopIfTrue="1" operator="equal">
      <formula>"UL"</formula>
    </cfRule>
    <cfRule type="cellIs" dxfId="125" priority="81" stopIfTrue="1" operator="equal">
      <formula>"EL"</formula>
    </cfRule>
    <cfRule type="cellIs" dxfId="124" priority="80" stopIfTrue="1" operator="equal">
      <formula>"CL"</formula>
    </cfRule>
    <cfRule type="containsText" dxfId="123" priority="79" operator="containsText" text="OFF">
      <formula>NOT(ISERROR(SEARCH(("OFF"),(F4))))</formula>
    </cfRule>
    <cfRule type="containsText" dxfId="122" priority="78" operator="containsText" text="AL">
      <formula>NOT(ISERROR(SEARCH(("AL"),(F4))))</formula>
    </cfRule>
    <cfRule type="containsText" dxfId="121" priority="77" operator="containsText" text="OFF">
      <formula>NOT(ISERROR(SEARCH(("OFF"),(F4))))</formula>
    </cfRule>
    <cfRule type="containsText" dxfId="120" priority="76" operator="containsText" text="AL">
      <formula>NOT(ISERROR(SEARCH(("AL"),(F4))))</formula>
    </cfRule>
    <cfRule type="cellIs" dxfId="119" priority="75" stopIfTrue="1" operator="equal">
      <formula>"UL"</formula>
    </cfRule>
    <cfRule type="cellIs" dxfId="118" priority="73" stopIfTrue="1" operator="equal">
      <formula>"CL"</formula>
    </cfRule>
    <cfRule type="containsText" dxfId="117" priority="72" operator="containsText" text="OFF">
      <formula>NOT(ISERROR(SEARCH(("OFF"),(F4))))</formula>
    </cfRule>
    <cfRule type="containsText" dxfId="116" priority="71" operator="containsText" text="AL">
      <formula>NOT(ISERROR(SEARCH(("AL"),(F4))))</formula>
    </cfRule>
    <cfRule type="containsText" dxfId="115" priority="70" operator="containsText" text="OFF">
      <formula>NOT(ISERROR(SEARCH(("OFF"),(F4))))</formula>
    </cfRule>
    <cfRule type="containsText" dxfId="114" priority="69" operator="containsText" text="AL">
      <formula>NOT(ISERROR(SEARCH(("AL"),(F4))))</formula>
    </cfRule>
    <cfRule type="cellIs" dxfId="113" priority="68" stopIfTrue="1" operator="equal">
      <formula>"UL"</formula>
    </cfRule>
    <cfRule type="cellIs" dxfId="112" priority="67" stopIfTrue="1" operator="equal">
      <formula>"EL"</formula>
    </cfRule>
    <cfRule type="cellIs" dxfId="111" priority="66" stopIfTrue="1" operator="equal">
      <formula>"CL"</formula>
    </cfRule>
    <cfRule type="containsText" dxfId="110" priority="64" operator="containsText" text="AL">
      <formula>NOT(ISERROR(SEARCH(("AL"),(F4))))</formula>
    </cfRule>
    <cfRule type="cellIs" dxfId="109" priority="63" stopIfTrue="1" operator="equal">
      <formula>"UL"</formula>
    </cfRule>
    <cfRule type="cellIs" dxfId="108" priority="62" stopIfTrue="1" operator="equal">
      <formula>"EL"</formula>
    </cfRule>
    <cfRule type="cellIs" dxfId="107" priority="61" stopIfTrue="1" operator="equal">
      <formula>"CL"</formula>
    </cfRule>
    <cfRule type="containsText" dxfId="106" priority="60" operator="containsText" text="OFF">
      <formula>NOT(ISERROR(SEARCH(("OFF"),(F4))))</formula>
    </cfRule>
    <cfRule type="containsText" dxfId="105" priority="59" operator="containsText" text="AL">
      <formula>NOT(ISERROR(SEARCH(("AL"),(F4))))</formula>
    </cfRule>
    <cfRule type="cellIs" dxfId="104" priority="58" stopIfTrue="1" operator="equal">
      <formula>"UL"</formula>
    </cfRule>
    <cfRule type="cellIs" dxfId="103" priority="57" stopIfTrue="1" operator="equal">
      <formula>"EL"</formula>
    </cfRule>
    <cfRule type="cellIs" dxfId="102" priority="56" stopIfTrue="1" operator="equal">
      <formula>"CL"</formula>
    </cfRule>
    <cfRule type="containsText" dxfId="101" priority="55" operator="containsText" text="OFF">
      <formula>NOT(ISERROR(SEARCH(("OFF"),(F4))))</formula>
    </cfRule>
    <cfRule type="containsText" dxfId="100" priority="54" operator="containsText" text="AL">
      <formula>NOT(ISERROR(SEARCH(("AL"),(F4))))</formula>
    </cfRule>
    <cfRule type="cellIs" dxfId="99" priority="53" stopIfTrue="1" operator="equal">
      <formula>"UL"</formula>
    </cfRule>
    <cfRule type="cellIs" dxfId="98" priority="52" stopIfTrue="1" operator="equal">
      <formula>"EL"</formula>
    </cfRule>
    <cfRule type="cellIs" dxfId="97" priority="51" stopIfTrue="1" operator="equal">
      <formula>"CL"</formula>
    </cfRule>
  </conditionalFormatting>
  <conditionalFormatting sqref="G3:G6">
    <cfRule type="containsText" dxfId="96" priority="118" operator="containsText" text="OFF">
      <formula>NOT(ISERROR(SEARCH(("OFF"),(G3))))</formula>
    </cfRule>
    <cfRule type="containsText" dxfId="95" priority="117" operator="containsText" text="AL">
      <formula>NOT(ISERROR(SEARCH(("AL"),(G3))))</formula>
    </cfRule>
    <cfRule type="cellIs" dxfId="94" priority="116" stopIfTrue="1" operator="equal">
      <formula>"UL"</formula>
    </cfRule>
    <cfRule type="cellIs" dxfId="93" priority="115" stopIfTrue="1" operator="equal">
      <formula>"EL"</formula>
    </cfRule>
    <cfRule type="cellIs" dxfId="92" priority="114" stopIfTrue="1" operator="equal">
      <formula>"CL"</formula>
    </cfRule>
    <cfRule type="cellIs" dxfId="91" priority="113" operator="equal">
      <formula>"OFF"</formula>
    </cfRule>
  </conditionalFormatting>
  <conditionalFormatting sqref="G5:G6">
    <cfRule type="containsText" dxfId="90" priority="120" operator="containsText" text="AL">
      <formula>NOT(ISERROR(SEARCH(("AL"),(G5))))</formula>
    </cfRule>
    <cfRule type="cellIs" dxfId="89" priority="123" stopIfTrue="1" operator="equal">
      <formula>"EL"</formula>
    </cfRule>
    <cfRule type="containsText" dxfId="88" priority="125" operator="containsText" text="AL">
      <formula>NOT(ISERROR(SEARCH(("AL"),(G5))))</formula>
    </cfRule>
    <cfRule type="cellIs" dxfId="87" priority="124" stopIfTrue="1" operator="equal">
      <formula>"UL"</formula>
    </cfRule>
    <cfRule type="containsText" dxfId="86" priority="126" operator="containsText" text="OFF">
      <formula>NOT(ISERROR(SEARCH(("OFF"),(G5))))</formula>
    </cfRule>
    <cfRule type="cellIs" dxfId="85" priority="122" stopIfTrue="1" operator="equal">
      <formula>"CL"</formula>
    </cfRule>
    <cfRule type="containsText" dxfId="84" priority="121" operator="containsText" text="OFF">
      <formula>NOT(ISERROR(SEARCH(("OFF"),(G5))))</formula>
    </cfRule>
  </conditionalFormatting>
  <conditionalFormatting sqref="G5:G7">
    <cfRule type="cellIs" dxfId="83" priority="119" operator="equal">
      <formula>"OFF"</formula>
    </cfRule>
    <cfRule type="cellIs" dxfId="82" priority="127" stopIfTrue="1" operator="equal">
      <formula>"CL"</formula>
    </cfRule>
    <cfRule type="cellIs" dxfId="81" priority="128" stopIfTrue="1" operator="equal">
      <formula>"EL"</formula>
    </cfRule>
    <cfRule type="cellIs" dxfId="80" priority="129" stopIfTrue="1" operator="equal">
      <formula>"UL"</formula>
    </cfRule>
  </conditionalFormatting>
  <conditionalFormatting sqref="G7">
    <cfRule type="containsText" dxfId="79" priority="147" operator="containsText" text="AL">
      <formula>NOT(ISERROR(SEARCH(("AL"),(G7))))</formula>
    </cfRule>
    <cfRule type="containsText" dxfId="78" priority="148" operator="containsText" text="OFF">
      <formula>NOT(ISERROR(SEARCH(("OFF"),(G7))))</formula>
    </cfRule>
    <cfRule type="cellIs" dxfId="77" priority="149" stopIfTrue="1" operator="equal">
      <formula>"CL"</formula>
    </cfRule>
    <cfRule type="cellIs" dxfId="76" priority="150" stopIfTrue="1" operator="equal">
      <formula>"EL"</formula>
    </cfRule>
    <cfRule type="cellIs" dxfId="75" priority="151" stopIfTrue="1" operator="equal">
      <formula>"UL"</formula>
    </cfRule>
    <cfRule type="containsText" dxfId="74" priority="153" operator="containsText" text="OFF">
      <formula>NOT(ISERROR(SEARCH(("OFF"),(G7))))</formula>
    </cfRule>
    <cfRule type="cellIs" dxfId="73" priority="154" stopIfTrue="1" operator="equal">
      <formula>"CL"</formula>
    </cfRule>
    <cfRule type="cellIs" dxfId="72" priority="155" stopIfTrue="1" operator="equal">
      <formula>"EL"</formula>
    </cfRule>
    <cfRule type="cellIs" dxfId="71" priority="156" stopIfTrue="1" operator="equal">
      <formula>"UL"</formula>
    </cfRule>
    <cfRule type="containsText" dxfId="70" priority="152" operator="containsText" text="AL">
      <formula>NOT(ISERROR(SEARCH(("AL"),(G7))))</formula>
    </cfRule>
    <cfRule type="containsText" dxfId="69" priority="157" operator="containsText" text="AL">
      <formula>NOT(ISERROR(SEARCH(("AL"),(G7))))</formula>
    </cfRule>
    <cfRule type="containsText" dxfId="68" priority="158" operator="containsText" text="OFF">
      <formula>NOT(ISERROR(SEARCH(("OFF"),(G7))))</formula>
    </cfRule>
    <cfRule type="cellIs" dxfId="67" priority="159" stopIfTrue="1" operator="equal">
      <formula>"CL"</formula>
    </cfRule>
    <cfRule type="cellIs" dxfId="66" priority="160" stopIfTrue="1" operator="equal">
      <formula>"EL"</formula>
    </cfRule>
    <cfRule type="cellIs" dxfId="65" priority="161" stopIfTrue="1" operator="equal">
      <formula>"UL"</formula>
    </cfRule>
    <cfRule type="containsText" dxfId="64" priority="162" operator="containsText" text="AL">
      <formula>NOT(ISERROR(SEARCH(("AL"),(G7))))</formula>
    </cfRule>
    <cfRule type="containsText" dxfId="63" priority="163" operator="containsText" text="OFF">
      <formula>NOT(ISERROR(SEARCH(("OFF"),(G7))))</formula>
    </cfRule>
    <cfRule type="containsText" dxfId="62" priority="142" operator="containsText" text="AL">
      <formula>NOT(ISERROR(SEARCH(("AL"),(G7))))</formula>
    </cfRule>
    <cfRule type="containsText" dxfId="61" priority="134" operator="containsText" text="AL">
      <formula>NOT(ISERROR(SEARCH(("AL"),(G7))))</formula>
    </cfRule>
    <cfRule type="containsText" dxfId="60" priority="135" operator="containsText" text="OFF">
      <formula>NOT(ISERROR(SEARCH(("OFF"),(G7))))</formula>
    </cfRule>
    <cfRule type="cellIs" dxfId="59" priority="136" stopIfTrue="1" operator="equal">
      <formula>"CL"</formula>
    </cfRule>
    <cfRule type="cellIs" dxfId="58" priority="137" stopIfTrue="1" operator="equal">
      <formula>"EL"</formula>
    </cfRule>
    <cfRule type="cellIs" dxfId="57" priority="138" stopIfTrue="1" operator="equal">
      <formula>"UL"</formula>
    </cfRule>
    <cfRule type="containsText" dxfId="56" priority="139" operator="containsText" text="AL">
      <formula>NOT(ISERROR(SEARCH(("AL"),(G7))))</formula>
    </cfRule>
    <cfRule type="containsText" dxfId="55" priority="140" operator="containsText" text="OFF">
      <formula>NOT(ISERROR(SEARCH(("OFF"),(G7))))</formula>
    </cfRule>
    <cfRule type="containsText" dxfId="54" priority="165" operator="containsText" text="OFF">
      <formula>NOT(ISERROR(SEARCH(("OFF"),(G7))))</formula>
    </cfRule>
    <cfRule type="containsText" dxfId="53" priority="164" operator="containsText" text="AL">
      <formula>NOT(ISERROR(SEARCH(("AL"),(G7))))</formula>
    </cfRule>
    <cfRule type="containsText" dxfId="52" priority="143" operator="containsText" text="OFF">
      <formula>NOT(ISERROR(SEARCH(("OFF"),(G7))))</formula>
    </cfRule>
    <cfRule type="cellIs" dxfId="51" priority="144" stopIfTrue="1" operator="equal">
      <formula>"CL"</formula>
    </cfRule>
    <cfRule type="cellIs" dxfId="50" priority="145" stopIfTrue="1" operator="equal">
      <formula>"EL"</formula>
    </cfRule>
    <cfRule type="cellIs" dxfId="49" priority="146" stopIfTrue="1" operator="equal">
      <formula>"UL"</formula>
    </cfRule>
  </conditionalFormatting>
  <conditionalFormatting sqref="G7:G8">
    <cfRule type="cellIs" dxfId="48" priority="141" operator="equal">
      <formula>"OFF"</formula>
    </cfRule>
    <cfRule type="cellIs" dxfId="47" priority="168" stopIfTrue="1" operator="equal">
      <formula>"UL"</formula>
    </cfRule>
    <cfRule type="cellIs" dxfId="46" priority="166" stopIfTrue="1" operator="equal">
      <formula>"CL"</formula>
    </cfRule>
    <cfRule type="cellIs" dxfId="45" priority="167" stopIfTrue="1" operator="equal">
      <formula>"EL"</formula>
    </cfRule>
  </conditionalFormatting>
  <conditionalFormatting sqref="G8">
    <cfRule type="cellIs" dxfId="44" priority="199" stopIfTrue="1" operator="equal">
      <formula>"EL"</formula>
    </cfRule>
    <cfRule type="cellIs" dxfId="43" priority="198" stopIfTrue="1" operator="equal">
      <formula>"CL"</formula>
    </cfRule>
    <cfRule type="containsText" dxfId="42" priority="197" operator="containsText" text="OFF">
      <formula>NOT(ISERROR(SEARCH(("OFF"),(G8))))</formula>
    </cfRule>
    <cfRule type="containsText" dxfId="41" priority="196" operator="containsText" text="AL">
      <formula>NOT(ISERROR(SEARCH(("AL"),(G8))))</formula>
    </cfRule>
    <cfRule type="cellIs" dxfId="40" priority="195" stopIfTrue="1" operator="equal">
      <formula>"UL"</formula>
    </cfRule>
    <cfRule type="cellIs" dxfId="39" priority="194" stopIfTrue="1" operator="equal">
      <formula>"EL"</formula>
    </cfRule>
    <cfRule type="cellIs" dxfId="38" priority="193" stopIfTrue="1" operator="equal">
      <formula>"CL"</formula>
    </cfRule>
    <cfRule type="containsText" dxfId="37" priority="191" operator="containsText" text="AL">
      <formula>NOT(ISERROR(SEARCH(("AL"),(G8))))</formula>
    </cfRule>
    <cfRule type="cellIs" dxfId="36" priority="190" stopIfTrue="1" operator="equal">
      <formula>"UL"</formula>
    </cfRule>
    <cfRule type="cellIs" dxfId="35" priority="189" stopIfTrue="1" operator="equal">
      <formula>"EL"</formula>
    </cfRule>
    <cfRule type="containsText" dxfId="34" priority="192" operator="containsText" text="OFF">
      <formula>NOT(ISERROR(SEARCH(("OFF"),(G8))))</formula>
    </cfRule>
    <cfRule type="cellIs" dxfId="33" priority="207" stopIfTrue="1" operator="equal">
      <formula>"UL"</formula>
    </cfRule>
    <cfRule type="cellIs" dxfId="32" priority="206" stopIfTrue="1" operator="equal">
      <formula>"EL"</formula>
    </cfRule>
    <cfRule type="cellIs" dxfId="31" priority="205" stopIfTrue="1" operator="equal">
      <formula>"CL"</formula>
    </cfRule>
    <cfRule type="containsText" dxfId="30" priority="203" operator="containsText" text="AL">
      <formula>NOT(ISERROR(SEARCH(("AL"),(G8))))</formula>
    </cfRule>
    <cfRule type="containsText" dxfId="29" priority="204" operator="containsText" text="OFF">
      <formula>NOT(ISERROR(SEARCH(("OFF"),(G8))))</formula>
    </cfRule>
    <cfRule type="containsText" dxfId="28" priority="201" operator="containsText" text="AL">
      <formula>NOT(ISERROR(SEARCH(("AL"),(G8))))</formula>
    </cfRule>
    <cfRule type="cellIs" dxfId="27" priority="200" stopIfTrue="1" operator="equal">
      <formula>"UL"</formula>
    </cfRule>
    <cfRule type="containsText" dxfId="26" priority="173" operator="containsText" text="AL">
      <formula>NOT(ISERROR(SEARCH(("AL"),(G8))))</formula>
    </cfRule>
    <cfRule type="containsText" dxfId="25" priority="174" operator="containsText" text="OFF">
      <formula>NOT(ISERROR(SEARCH(("OFF"),(G8))))</formula>
    </cfRule>
    <cfRule type="cellIs" dxfId="24" priority="175" stopIfTrue="1" operator="equal">
      <formula>"CL"</formula>
    </cfRule>
    <cfRule type="cellIs" dxfId="23" priority="176" stopIfTrue="1" operator="equal">
      <formula>"EL"</formula>
    </cfRule>
    <cfRule type="cellIs" dxfId="22" priority="177" stopIfTrue="1" operator="equal">
      <formula>"UL"</formula>
    </cfRule>
    <cfRule type="containsText" dxfId="21" priority="178" operator="containsText" text="AL">
      <formula>NOT(ISERROR(SEARCH(("AL"),(G8))))</formula>
    </cfRule>
    <cfRule type="containsText" dxfId="20" priority="202" operator="containsText" text="OFF">
      <formula>NOT(ISERROR(SEARCH(("OFF"),(G8))))</formula>
    </cfRule>
    <cfRule type="cellIs" dxfId="19" priority="180" operator="equal">
      <formula>"OFF"</formula>
    </cfRule>
    <cfRule type="containsText" dxfId="18" priority="181" operator="containsText" text="AL">
      <formula>NOT(ISERROR(SEARCH(("AL"),(G8))))</formula>
    </cfRule>
    <cfRule type="containsText" dxfId="17" priority="182" operator="containsText" text="OFF">
      <formula>NOT(ISERROR(SEARCH(("OFF"),(G8))))</formula>
    </cfRule>
    <cfRule type="cellIs" dxfId="16" priority="183" stopIfTrue="1" operator="equal">
      <formula>"CL"</formula>
    </cfRule>
    <cfRule type="cellIs" dxfId="15" priority="184" stopIfTrue="1" operator="equal">
      <formula>"EL"</formula>
    </cfRule>
    <cfRule type="cellIs" dxfId="14" priority="185" stopIfTrue="1" operator="equal">
      <formula>"UL"</formula>
    </cfRule>
    <cfRule type="containsText" dxfId="13" priority="186" operator="containsText" text="AL">
      <formula>NOT(ISERROR(SEARCH(("AL"),(G8))))</formula>
    </cfRule>
    <cfRule type="containsText" dxfId="12" priority="187" operator="containsText" text="OFF">
      <formula>NOT(ISERROR(SEARCH(("OFF"),(G8))))</formula>
    </cfRule>
    <cfRule type="cellIs" dxfId="11" priority="188" stopIfTrue="1" operator="equal">
      <formula>"CL"</formula>
    </cfRule>
    <cfRule type="containsText" dxfId="10" priority="179" operator="containsText" text="OFF">
      <formula>NOT(ISERROR(SEARCH(("OFF"),(G8))))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638F-1F1F-43D9-8344-59A85E60701C}">
  <dimension ref="A1:AJ30"/>
  <sheetViews>
    <sheetView zoomScale="85" zoomScaleNormal="85" workbookViewId="0">
      <selection activeCell="AJ5" sqref="AJ5"/>
    </sheetView>
  </sheetViews>
  <sheetFormatPr defaultRowHeight="14.25" x14ac:dyDescent="0.2"/>
  <cols>
    <col min="1" max="1" width="6.875" customWidth="1"/>
    <col min="2" max="2" width="19" bestFit="1" customWidth="1"/>
    <col min="3" max="3" width="4.625" customWidth="1"/>
    <col min="4" max="4" width="10.875" customWidth="1"/>
    <col min="5" max="5" width="13.875" customWidth="1"/>
    <col min="6" max="14" width="5.125" customWidth="1"/>
    <col min="15" max="17" width="6" customWidth="1"/>
    <col min="18" max="30" width="6" bestFit="1" customWidth="1"/>
    <col min="31" max="31" width="7" bestFit="1" customWidth="1"/>
    <col min="32" max="34" width="6" bestFit="1" customWidth="1"/>
    <col min="35" max="36" width="6.125" customWidth="1"/>
  </cols>
  <sheetData>
    <row r="1" spans="1:36" ht="22.5" x14ac:dyDescent="0.25">
      <c r="A1" s="103" t="s">
        <v>1</v>
      </c>
      <c r="B1" s="103"/>
      <c r="C1" s="13"/>
      <c r="D1" s="41"/>
      <c r="E1" s="41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5"/>
      <c r="Y1" s="15"/>
      <c r="Z1" s="15"/>
      <c r="AA1" s="15"/>
      <c r="AB1" s="15"/>
      <c r="AC1" s="15"/>
      <c r="AD1" s="15"/>
      <c r="AE1" s="16"/>
      <c r="AF1" s="15"/>
      <c r="AG1" s="15"/>
      <c r="AH1" s="15"/>
      <c r="AI1" s="15"/>
    </row>
    <row r="2" spans="1:36" ht="18.75" x14ac:dyDescent="0.2">
      <c r="A2" s="17">
        <v>1207</v>
      </c>
      <c r="B2" s="18"/>
      <c r="C2" s="19"/>
      <c r="D2" s="45"/>
      <c r="E2" s="19"/>
      <c r="F2" s="20" t="s">
        <v>2</v>
      </c>
      <c r="G2" s="20" t="s">
        <v>3</v>
      </c>
      <c r="H2" s="20" t="s">
        <v>4</v>
      </c>
      <c r="I2" s="20" t="s">
        <v>5</v>
      </c>
      <c r="J2" s="20" t="s">
        <v>6</v>
      </c>
      <c r="K2" s="20" t="s">
        <v>7</v>
      </c>
      <c r="L2" s="20" t="s">
        <v>8</v>
      </c>
      <c r="M2" s="20" t="s">
        <v>2</v>
      </c>
      <c r="N2" s="20" t="s">
        <v>3</v>
      </c>
      <c r="O2" s="20" t="s">
        <v>4</v>
      </c>
      <c r="P2" s="20" t="s">
        <v>5</v>
      </c>
      <c r="Q2" s="20" t="s">
        <v>6</v>
      </c>
      <c r="R2" s="20" t="s">
        <v>7</v>
      </c>
      <c r="S2" s="20" t="s">
        <v>8</v>
      </c>
      <c r="T2" s="20" t="s">
        <v>2</v>
      </c>
      <c r="U2" s="20" t="s">
        <v>3</v>
      </c>
      <c r="V2" s="20" t="s">
        <v>4</v>
      </c>
      <c r="W2" s="20" t="s">
        <v>5</v>
      </c>
      <c r="X2" s="20" t="s">
        <v>6</v>
      </c>
      <c r="Y2" s="20" t="s">
        <v>7</v>
      </c>
      <c r="Z2" s="20" t="s">
        <v>8</v>
      </c>
      <c r="AA2" s="20" t="s">
        <v>2</v>
      </c>
      <c r="AB2" s="20" t="s">
        <v>3</v>
      </c>
      <c r="AC2" s="20" t="s">
        <v>4</v>
      </c>
      <c r="AD2" s="20" t="s">
        <v>5</v>
      </c>
      <c r="AE2" s="20" t="s">
        <v>6</v>
      </c>
      <c r="AF2" s="20" t="s">
        <v>7</v>
      </c>
      <c r="AG2" s="20" t="s">
        <v>8</v>
      </c>
      <c r="AH2" s="20" t="s">
        <v>2</v>
      </c>
      <c r="AI2" s="20" t="s">
        <v>3</v>
      </c>
      <c r="AJ2" s="20" t="s">
        <v>4</v>
      </c>
    </row>
    <row r="3" spans="1:36" x14ac:dyDescent="0.2">
      <c r="A3" s="21" t="s">
        <v>9</v>
      </c>
      <c r="B3" s="22" t="s">
        <v>10</v>
      </c>
      <c r="C3" s="44" t="s">
        <v>11</v>
      </c>
      <c r="D3" s="46" t="s">
        <v>12</v>
      </c>
      <c r="E3" s="42" t="s">
        <v>13</v>
      </c>
      <c r="F3" s="23">
        <v>46023</v>
      </c>
      <c r="G3" s="23">
        <v>46024</v>
      </c>
      <c r="H3" s="23">
        <v>46025</v>
      </c>
      <c r="I3" s="23">
        <v>46026</v>
      </c>
      <c r="J3" s="23">
        <v>46027</v>
      </c>
      <c r="K3" s="23">
        <v>46028</v>
      </c>
      <c r="L3" s="23">
        <v>46029</v>
      </c>
      <c r="M3" s="23">
        <v>46030</v>
      </c>
      <c r="N3" s="23">
        <v>46031</v>
      </c>
      <c r="O3" s="23">
        <v>46032</v>
      </c>
      <c r="P3" s="23">
        <v>46033</v>
      </c>
      <c r="Q3" s="23">
        <v>46034</v>
      </c>
      <c r="R3" s="23">
        <v>46035</v>
      </c>
      <c r="S3" s="23">
        <v>46036</v>
      </c>
      <c r="T3" s="23">
        <v>46037</v>
      </c>
      <c r="U3" s="23">
        <v>46038</v>
      </c>
      <c r="V3" s="23">
        <v>46039</v>
      </c>
      <c r="W3" s="23">
        <v>46040</v>
      </c>
      <c r="X3" s="23">
        <v>46041</v>
      </c>
      <c r="Y3" s="23">
        <v>46042</v>
      </c>
      <c r="Z3" s="23">
        <v>46043</v>
      </c>
      <c r="AA3" s="23">
        <v>46044</v>
      </c>
      <c r="AB3" s="23">
        <v>46045</v>
      </c>
      <c r="AC3" s="23">
        <v>46046</v>
      </c>
      <c r="AD3" s="23">
        <v>46047</v>
      </c>
      <c r="AE3" s="23">
        <v>46048</v>
      </c>
      <c r="AF3" s="23">
        <v>46049</v>
      </c>
      <c r="AG3" s="23">
        <v>46050</v>
      </c>
      <c r="AH3" s="23">
        <v>46051</v>
      </c>
      <c r="AI3" s="23">
        <v>46052</v>
      </c>
      <c r="AJ3" s="23">
        <v>46053</v>
      </c>
    </row>
    <row r="4" spans="1:36" x14ac:dyDescent="0.2">
      <c r="A4" s="24">
        <v>1</v>
      </c>
      <c r="B4" s="25" t="s">
        <v>14</v>
      </c>
      <c r="C4" s="24" t="s">
        <v>15</v>
      </c>
      <c r="D4" s="24" t="s">
        <v>16</v>
      </c>
      <c r="E4" s="43" t="s">
        <v>17</v>
      </c>
      <c r="F4" s="26" t="s">
        <v>18</v>
      </c>
      <c r="G4" s="40" t="s">
        <v>18</v>
      </c>
      <c r="H4" s="58" t="s">
        <v>18</v>
      </c>
      <c r="I4" s="58" t="s">
        <v>19</v>
      </c>
      <c r="J4" s="40" t="s">
        <v>18</v>
      </c>
      <c r="K4" s="62" t="s">
        <v>0</v>
      </c>
      <c r="L4" s="61" t="s">
        <v>20</v>
      </c>
      <c r="M4" s="61" t="s">
        <v>21</v>
      </c>
      <c r="N4" s="40" t="s">
        <v>18</v>
      </c>
      <c r="O4" s="63" t="s">
        <v>18</v>
      </c>
      <c r="P4" s="63" t="s">
        <v>18</v>
      </c>
      <c r="Q4" s="40" t="s">
        <v>19</v>
      </c>
      <c r="R4" s="40" t="s">
        <v>0</v>
      </c>
      <c r="S4" s="40" t="s">
        <v>18</v>
      </c>
      <c r="T4" s="40" t="s">
        <v>18</v>
      </c>
      <c r="U4" s="40" t="s">
        <v>18</v>
      </c>
      <c r="V4" s="58" t="s">
        <v>19</v>
      </c>
      <c r="W4" s="58" t="s">
        <v>22</v>
      </c>
      <c r="X4" s="40" t="s">
        <v>18</v>
      </c>
      <c r="Y4" s="40" t="s">
        <v>0</v>
      </c>
      <c r="Z4" s="40" t="s">
        <v>22</v>
      </c>
      <c r="AA4" s="40" t="s">
        <v>19</v>
      </c>
      <c r="AB4" s="40" t="s">
        <v>19</v>
      </c>
      <c r="AC4" s="65"/>
      <c r="AD4" s="65"/>
      <c r="AE4" s="65"/>
      <c r="AF4" s="65"/>
      <c r="AG4" s="65"/>
      <c r="AH4" s="65"/>
      <c r="AI4" s="65"/>
      <c r="AJ4" s="65"/>
    </row>
    <row r="5" spans="1:36" x14ac:dyDescent="0.2">
      <c r="A5" s="24">
        <v>2</v>
      </c>
      <c r="B5" s="27" t="s">
        <v>23</v>
      </c>
      <c r="C5" s="28" t="s">
        <v>24</v>
      </c>
      <c r="D5" s="28" t="s">
        <v>25</v>
      </c>
      <c r="E5" s="47" t="s">
        <v>26</v>
      </c>
      <c r="F5" s="40" t="s">
        <v>22</v>
      </c>
      <c r="G5" s="26" t="s">
        <v>19</v>
      </c>
      <c r="H5" s="58" t="s">
        <v>18</v>
      </c>
      <c r="I5" s="58" t="s">
        <v>18</v>
      </c>
      <c r="J5" s="62" t="s">
        <v>0</v>
      </c>
      <c r="K5" s="40" t="s">
        <v>19</v>
      </c>
      <c r="L5" s="64" t="s">
        <v>18</v>
      </c>
      <c r="M5" s="40" t="s">
        <v>19</v>
      </c>
      <c r="N5" s="40" t="s">
        <v>19</v>
      </c>
      <c r="O5" s="63" t="s">
        <v>18</v>
      </c>
      <c r="P5" s="63" t="s">
        <v>19</v>
      </c>
      <c r="Q5" s="26" t="s">
        <v>22</v>
      </c>
      <c r="R5" s="26" t="s">
        <v>18</v>
      </c>
      <c r="S5" s="26" t="s">
        <v>0</v>
      </c>
      <c r="T5" s="26" t="s">
        <v>19</v>
      </c>
      <c r="U5" s="26" t="s">
        <v>19</v>
      </c>
      <c r="V5" s="58" t="s">
        <v>18</v>
      </c>
      <c r="W5" s="58" t="s">
        <v>19</v>
      </c>
      <c r="X5" s="26" t="s">
        <v>22</v>
      </c>
      <c r="Y5" s="26" t="s">
        <v>18</v>
      </c>
      <c r="Z5" s="26" t="s">
        <v>19</v>
      </c>
      <c r="AA5" s="26" t="s">
        <v>0</v>
      </c>
      <c r="AB5" s="26" t="s">
        <v>18</v>
      </c>
      <c r="AC5" s="58" t="s">
        <v>18</v>
      </c>
      <c r="AD5" s="58" t="s">
        <v>19</v>
      </c>
      <c r="AE5" s="26" t="s">
        <v>19</v>
      </c>
      <c r="AF5" s="26" t="s">
        <v>19</v>
      </c>
      <c r="AG5" s="26" t="s">
        <v>18</v>
      </c>
      <c r="AH5" s="26" t="s">
        <v>0</v>
      </c>
      <c r="AI5" s="40" t="s">
        <v>18</v>
      </c>
      <c r="AJ5" s="40" t="s">
        <v>18</v>
      </c>
    </row>
    <row r="6" spans="1:36" x14ac:dyDescent="0.2">
      <c r="A6" s="24">
        <v>3</v>
      </c>
      <c r="B6" s="27" t="s">
        <v>27</v>
      </c>
      <c r="C6" s="28" t="s">
        <v>24</v>
      </c>
      <c r="D6" s="28" t="s">
        <v>28</v>
      </c>
      <c r="E6" s="47" t="s">
        <v>29</v>
      </c>
      <c r="F6" s="40" t="s">
        <v>19</v>
      </c>
      <c r="G6" s="40" t="s">
        <v>0</v>
      </c>
      <c r="H6" s="58" t="s">
        <v>19</v>
      </c>
      <c r="I6" s="58" t="s">
        <v>22</v>
      </c>
      <c r="J6" s="40" t="s">
        <v>19</v>
      </c>
      <c r="K6" s="40" t="s">
        <v>18</v>
      </c>
      <c r="L6" s="40" t="s">
        <v>19</v>
      </c>
      <c r="M6" s="40" t="s">
        <v>18</v>
      </c>
      <c r="N6" s="62" t="s">
        <v>0</v>
      </c>
      <c r="O6" s="63" t="s">
        <v>19</v>
      </c>
      <c r="P6" s="63" t="s">
        <v>22</v>
      </c>
      <c r="Q6" s="40" t="s">
        <v>18</v>
      </c>
      <c r="R6" s="40" t="s">
        <v>19</v>
      </c>
      <c r="S6" s="40" t="s">
        <v>19</v>
      </c>
      <c r="T6" s="61" t="s">
        <v>0</v>
      </c>
      <c r="U6" s="61" t="s">
        <v>21</v>
      </c>
      <c r="V6" s="61" t="s">
        <v>21</v>
      </c>
      <c r="W6" s="58" t="s">
        <v>18</v>
      </c>
      <c r="X6" s="40" t="s">
        <v>19</v>
      </c>
      <c r="Y6" s="40" t="s">
        <v>19</v>
      </c>
      <c r="Z6" s="40" t="s">
        <v>18</v>
      </c>
      <c r="AA6" s="40" t="s">
        <v>18</v>
      </c>
      <c r="AB6" s="40" t="s">
        <v>0</v>
      </c>
      <c r="AC6" s="58" t="s">
        <v>19</v>
      </c>
      <c r="AD6" s="58" t="s">
        <v>18</v>
      </c>
      <c r="AE6" s="40" t="s">
        <v>18</v>
      </c>
      <c r="AF6" s="40" t="s">
        <v>18</v>
      </c>
      <c r="AG6" s="40" t="s">
        <v>19</v>
      </c>
      <c r="AH6" s="40" t="s">
        <v>18</v>
      </c>
      <c r="AI6" s="40" t="s">
        <v>19</v>
      </c>
      <c r="AJ6" s="40" t="s">
        <v>0</v>
      </c>
    </row>
    <row r="7" spans="1:36" x14ac:dyDescent="0.2">
      <c r="A7" s="24">
        <v>4</v>
      </c>
      <c r="B7" s="27" t="s">
        <v>30</v>
      </c>
      <c r="C7" s="28" t="s">
        <v>31</v>
      </c>
      <c r="D7" s="28" t="s">
        <v>32</v>
      </c>
      <c r="E7" s="47" t="s">
        <v>33</v>
      </c>
      <c r="F7" s="40" t="s">
        <v>34</v>
      </c>
      <c r="G7" s="40" t="s">
        <v>0</v>
      </c>
      <c r="H7" s="58" t="s">
        <v>0</v>
      </c>
      <c r="I7" s="58" t="s">
        <v>0</v>
      </c>
      <c r="J7" s="40" t="s">
        <v>0</v>
      </c>
      <c r="K7" s="40" t="s">
        <v>35</v>
      </c>
      <c r="L7" s="40" t="s">
        <v>0</v>
      </c>
      <c r="M7" s="40" t="s">
        <v>36</v>
      </c>
      <c r="N7" s="40" t="s">
        <v>36</v>
      </c>
      <c r="O7" s="63" t="s">
        <v>35</v>
      </c>
      <c r="P7" s="63" t="s">
        <v>37</v>
      </c>
      <c r="Q7" s="40" t="s">
        <v>35</v>
      </c>
      <c r="R7" s="40" t="s">
        <v>35</v>
      </c>
      <c r="S7" s="40" t="s">
        <v>0</v>
      </c>
      <c r="T7" s="40" t="s">
        <v>36</v>
      </c>
      <c r="U7" s="40" t="s">
        <v>36</v>
      </c>
      <c r="V7" s="58" t="s">
        <v>0</v>
      </c>
      <c r="W7" s="58" t="s">
        <v>35</v>
      </c>
      <c r="X7" s="40" t="s">
        <v>0</v>
      </c>
      <c r="Y7" s="40" t="s">
        <v>35</v>
      </c>
      <c r="Z7" s="40" t="s">
        <v>0</v>
      </c>
      <c r="AA7" s="40" t="s">
        <v>36</v>
      </c>
      <c r="AB7" s="40" t="s">
        <v>35</v>
      </c>
      <c r="AC7" s="58" t="s">
        <v>35</v>
      </c>
      <c r="AD7" s="58" t="s">
        <v>36</v>
      </c>
      <c r="AE7" s="40" t="s">
        <v>0</v>
      </c>
      <c r="AF7" s="40" t="s">
        <v>35</v>
      </c>
      <c r="AG7" s="40" t="s">
        <v>0</v>
      </c>
      <c r="AH7" s="40" t="s">
        <v>36</v>
      </c>
      <c r="AI7" s="40" t="s">
        <v>35</v>
      </c>
      <c r="AJ7" s="40" t="s">
        <v>35</v>
      </c>
    </row>
    <row r="8" spans="1:36" x14ac:dyDescent="0.2">
      <c r="A8" s="24">
        <v>5</v>
      </c>
      <c r="B8" s="27" t="s">
        <v>38</v>
      </c>
      <c r="C8" s="28" t="s">
        <v>31</v>
      </c>
      <c r="D8" s="28" t="s">
        <v>39</v>
      </c>
      <c r="E8" s="47" t="s">
        <v>40</v>
      </c>
      <c r="F8" s="40" t="s">
        <v>35</v>
      </c>
      <c r="G8" s="40" t="s">
        <v>36</v>
      </c>
      <c r="H8" s="58" t="s">
        <v>36</v>
      </c>
      <c r="I8" s="58" t="s">
        <v>35</v>
      </c>
      <c r="J8" s="40" t="s">
        <v>35</v>
      </c>
      <c r="K8" s="40" t="s">
        <v>41</v>
      </c>
      <c r="L8" s="40" t="s">
        <v>35</v>
      </c>
      <c r="M8" s="40" t="s">
        <v>35</v>
      </c>
      <c r="N8" s="40" t="s">
        <v>0</v>
      </c>
      <c r="O8" s="63" t="s">
        <v>36</v>
      </c>
      <c r="P8" s="63" t="s">
        <v>35</v>
      </c>
      <c r="Q8" s="40" t="s">
        <v>0</v>
      </c>
      <c r="R8" s="40" t="s">
        <v>36</v>
      </c>
      <c r="S8" s="40" t="s">
        <v>35</v>
      </c>
      <c r="T8" s="40" t="s">
        <v>0</v>
      </c>
      <c r="U8" s="40" t="s">
        <v>35</v>
      </c>
      <c r="V8" s="58" t="s">
        <v>36</v>
      </c>
      <c r="W8" s="58" t="s">
        <v>42</v>
      </c>
      <c r="X8" s="40" t="s">
        <v>35</v>
      </c>
      <c r="Y8" s="40" t="s">
        <v>36</v>
      </c>
      <c r="Z8" s="40" t="s">
        <v>35</v>
      </c>
      <c r="AA8" s="40" t="s">
        <v>0</v>
      </c>
      <c r="AB8" s="40" t="s">
        <v>36</v>
      </c>
      <c r="AC8" s="58" t="s">
        <v>36</v>
      </c>
      <c r="AD8" s="58" t="s">
        <v>35</v>
      </c>
      <c r="AE8" s="40" t="s">
        <v>0</v>
      </c>
      <c r="AF8" s="40" t="s">
        <v>36</v>
      </c>
      <c r="AG8" s="40" t="s">
        <v>35</v>
      </c>
      <c r="AH8" s="40" t="s">
        <v>0</v>
      </c>
      <c r="AI8" s="40" t="s">
        <v>36</v>
      </c>
      <c r="AJ8" s="40" t="s">
        <v>36</v>
      </c>
    </row>
    <row r="9" spans="1:36" x14ac:dyDescent="0.2">
      <c r="A9" s="24"/>
      <c r="B9" s="27" t="s">
        <v>43</v>
      </c>
      <c r="C9" s="28" t="s">
        <v>44</v>
      </c>
      <c r="D9" s="28" t="s">
        <v>45</v>
      </c>
      <c r="E9" s="66" t="s">
        <v>46</v>
      </c>
      <c r="F9" s="65"/>
      <c r="G9" s="65"/>
      <c r="H9" s="65"/>
      <c r="I9" s="65"/>
      <c r="J9" s="65"/>
      <c r="K9" s="65"/>
      <c r="L9" s="65"/>
      <c r="M9" s="65"/>
      <c r="N9" s="65"/>
      <c r="O9" s="65" t="s">
        <v>42</v>
      </c>
      <c r="P9" s="65" t="s">
        <v>47</v>
      </c>
      <c r="Q9" s="65"/>
      <c r="R9" s="65"/>
      <c r="S9" s="40" t="s">
        <v>18</v>
      </c>
      <c r="T9" s="40" t="s">
        <v>18</v>
      </c>
      <c r="U9" s="40" t="s">
        <v>18</v>
      </c>
      <c r="V9" s="40" t="s">
        <v>19</v>
      </c>
      <c r="W9" s="40" t="s">
        <v>19</v>
      </c>
      <c r="X9" s="40" t="s">
        <v>19</v>
      </c>
      <c r="Y9" s="40" t="s">
        <v>19</v>
      </c>
      <c r="Z9" s="40" t="s">
        <v>18</v>
      </c>
      <c r="AA9" s="40" t="s">
        <v>19</v>
      </c>
      <c r="AB9" s="40" t="s">
        <v>19</v>
      </c>
      <c r="AC9" s="58" t="s">
        <v>0</v>
      </c>
      <c r="AD9" s="58" t="s">
        <v>22</v>
      </c>
      <c r="AE9" s="40" t="s">
        <v>22</v>
      </c>
      <c r="AF9" s="40" t="s">
        <v>0</v>
      </c>
      <c r="AG9" s="40" t="s">
        <v>22</v>
      </c>
      <c r="AH9" s="40" t="s">
        <v>19</v>
      </c>
      <c r="AI9" s="40" t="s">
        <v>22</v>
      </c>
      <c r="AJ9" s="40" t="s">
        <v>19</v>
      </c>
    </row>
    <row r="10" spans="1:36" x14ac:dyDescent="0.2">
      <c r="A10" s="24"/>
      <c r="B10" s="27" t="s">
        <v>48</v>
      </c>
      <c r="C10" s="39" t="s">
        <v>31</v>
      </c>
      <c r="D10" s="28"/>
      <c r="E10" s="66">
        <v>823777977</v>
      </c>
      <c r="F10" s="65"/>
      <c r="G10" s="65"/>
      <c r="H10" s="65"/>
      <c r="I10" s="65"/>
      <c r="J10" s="65"/>
      <c r="K10" s="65"/>
      <c r="L10" s="65"/>
      <c r="M10" s="65"/>
      <c r="N10" s="65"/>
      <c r="O10" s="65" t="s">
        <v>49</v>
      </c>
      <c r="P10" s="65" t="s">
        <v>50</v>
      </c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40" t="s">
        <v>49</v>
      </c>
      <c r="AF10" s="40" t="s">
        <v>35</v>
      </c>
      <c r="AG10" s="40" t="s">
        <v>35</v>
      </c>
      <c r="AH10" s="40" t="s">
        <v>35</v>
      </c>
      <c r="AI10" s="40" t="s">
        <v>0</v>
      </c>
      <c r="AJ10" s="40" t="s">
        <v>41</v>
      </c>
    </row>
    <row r="11" spans="1:36" s="48" customFormat="1" ht="16.5" x14ac:dyDescent="0.3">
      <c r="A11" s="49"/>
      <c r="B11" s="50"/>
      <c r="C11" s="51"/>
      <c r="D11" s="51"/>
      <c r="E11" s="67"/>
      <c r="F11" s="52"/>
      <c r="G11" s="52"/>
      <c r="H11" s="52"/>
      <c r="I11" s="52"/>
      <c r="J11" s="52"/>
      <c r="K11" s="52"/>
      <c r="L11" s="53"/>
      <c r="M11" s="52"/>
      <c r="N11" s="52"/>
      <c r="O11" s="54"/>
      <c r="P11" s="54"/>
      <c r="Q11" s="55"/>
      <c r="R11" s="55"/>
      <c r="S11" s="54"/>
      <c r="T11" s="54"/>
      <c r="U11" s="54"/>
      <c r="V11" s="54"/>
      <c r="W11" s="54"/>
      <c r="X11" s="54"/>
      <c r="Y11" s="54"/>
      <c r="Z11" s="54"/>
      <c r="AA11" s="54"/>
      <c r="AB11" s="54"/>
      <c r="AD11" s="54"/>
      <c r="AE11" s="52"/>
      <c r="AF11" s="56"/>
      <c r="AG11" s="56"/>
      <c r="AH11" s="56"/>
      <c r="AI11" s="56"/>
      <c r="AJ11" s="56"/>
    </row>
    <row r="12" spans="1:36" ht="15" x14ac:dyDescent="0.25">
      <c r="A12" s="29"/>
      <c r="B12" s="1"/>
      <c r="C12" s="2"/>
      <c r="D12" s="2"/>
      <c r="E12" s="2"/>
      <c r="F12" s="30"/>
      <c r="G12" s="30"/>
      <c r="H12" s="30"/>
      <c r="I12" s="30"/>
      <c r="J12" s="30"/>
      <c r="K12" s="30"/>
      <c r="L12" s="31"/>
      <c r="M12" s="30"/>
      <c r="N12" s="30"/>
      <c r="O12" s="32"/>
      <c r="P12" s="32"/>
      <c r="Q12" s="33"/>
      <c r="R12" s="33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57"/>
      <c r="AE12" s="30"/>
      <c r="AF12" s="15"/>
      <c r="AG12" s="15"/>
      <c r="AH12" s="15"/>
      <c r="AI12" s="15"/>
      <c r="AJ12" s="15"/>
    </row>
    <row r="13" spans="1:36" ht="18.75" x14ac:dyDescent="0.3">
      <c r="A13" s="104" t="s">
        <v>51</v>
      </c>
      <c r="B13" s="34" t="s">
        <v>52</v>
      </c>
      <c r="C13" s="35" t="s">
        <v>19</v>
      </c>
      <c r="D13" s="35"/>
      <c r="E13" s="35"/>
      <c r="F13" s="36">
        <f t="shared" ref="F13:AJ13" si="0">COUNTIF(F4:F10,"A")</f>
        <v>1</v>
      </c>
      <c r="G13" s="36">
        <f t="shared" si="0"/>
        <v>1</v>
      </c>
      <c r="H13" s="36">
        <f t="shared" si="0"/>
        <v>1</v>
      </c>
      <c r="I13" s="36">
        <f t="shared" si="0"/>
        <v>1</v>
      </c>
      <c r="J13" s="36">
        <f t="shared" si="0"/>
        <v>1</v>
      </c>
      <c r="K13" s="36">
        <f t="shared" si="0"/>
        <v>1</v>
      </c>
      <c r="L13" s="36">
        <f t="shared" si="0"/>
        <v>1</v>
      </c>
      <c r="M13" s="36">
        <f t="shared" si="0"/>
        <v>1</v>
      </c>
      <c r="N13" s="36">
        <f t="shared" si="0"/>
        <v>1</v>
      </c>
      <c r="O13" s="36">
        <f t="shared" si="0"/>
        <v>1</v>
      </c>
      <c r="P13" s="36">
        <f t="shared" si="0"/>
        <v>1</v>
      </c>
      <c r="Q13" s="36">
        <f t="shared" si="0"/>
        <v>1</v>
      </c>
      <c r="R13" s="36">
        <f t="shared" si="0"/>
        <v>1</v>
      </c>
      <c r="S13" s="36">
        <f t="shared" si="0"/>
        <v>1</v>
      </c>
      <c r="T13" s="36">
        <f t="shared" si="0"/>
        <v>1</v>
      </c>
      <c r="U13" s="36">
        <f t="shared" si="0"/>
        <v>1</v>
      </c>
      <c r="V13" s="36">
        <f t="shared" si="0"/>
        <v>2</v>
      </c>
      <c r="W13" s="36">
        <f t="shared" si="0"/>
        <v>2</v>
      </c>
      <c r="X13" s="36">
        <f t="shared" si="0"/>
        <v>2</v>
      </c>
      <c r="Y13" s="36">
        <f t="shared" si="0"/>
        <v>2</v>
      </c>
      <c r="Z13" s="36">
        <f t="shared" si="0"/>
        <v>1</v>
      </c>
      <c r="AA13" s="36">
        <f t="shared" si="0"/>
        <v>2</v>
      </c>
      <c r="AB13" s="36">
        <f t="shared" si="0"/>
        <v>2</v>
      </c>
      <c r="AC13" s="36">
        <f t="shared" si="0"/>
        <v>1</v>
      </c>
      <c r="AD13" s="36">
        <f t="shared" si="0"/>
        <v>1</v>
      </c>
      <c r="AE13" s="36">
        <f t="shared" si="0"/>
        <v>1</v>
      </c>
      <c r="AF13" s="36">
        <f t="shared" si="0"/>
        <v>1</v>
      </c>
      <c r="AG13" s="36">
        <f t="shared" si="0"/>
        <v>1</v>
      </c>
      <c r="AH13" s="36">
        <f t="shared" si="0"/>
        <v>1</v>
      </c>
      <c r="AI13" s="36">
        <f t="shared" si="0"/>
        <v>1</v>
      </c>
      <c r="AJ13" s="36">
        <f t="shared" si="0"/>
        <v>1</v>
      </c>
    </row>
    <row r="14" spans="1:36" ht="18.75" x14ac:dyDescent="0.3">
      <c r="A14" s="105"/>
      <c r="B14" s="37" t="s">
        <v>53</v>
      </c>
      <c r="C14" s="35" t="s">
        <v>34</v>
      </c>
      <c r="D14" s="35"/>
      <c r="E14" s="35"/>
      <c r="F14" s="36">
        <f t="shared" ref="F14:AJ14" si="1">COUNTIF(F4:F10,"A1")</f>
        <v>1</v>
      </c>
      <c r="G14" s="36">
        <f t="shared" si="1"/>
        <v>0</v>
      </c>
      <c r="H14" s="36">
        <f t="shared" si="1"/>
        <v>0</v>
      </c>
      <c r="I14" s="36">
        <f t="shared" si="1"/>
        <v>0</v>
      </c>
      <c r="J14" s="36">
        <f t="shared" si="1"/>
        <v>0</v>
      </c>
      <c r="K14" s="36">
        <f t="shared" si="1"/>
        <v>0</v>
      </c>
      <c r="L14" s="36">
        <f t="shared" si="1"/>
        <v>0</v>
      </c>
      <c r="M14" s="36">
        <f t="shared" si="1"/>
        <v>0</v>
      </c>
      <c r="N14" s="36">
        <f t="shared" si="1"/>
        <v>0</v>
      </c>
      <c r="O14" s="36">
        <f t="shared" si="1"/>
        <v>0</v>
      </c>
      <c r="P14" s="36">
        <f t="shared" si="1"/>
        <v>0</v>
      </c>
      <c r="Q14" s="36">
        <f t="shared" si="1"/>
        <v>0</v>
      </c>
      <c r="R14" s="36">
        <f t="shared" si="1"/>
        <v>0</v>
      </c>
      <c r="S14" s="36">
        <f t="shared" si="1"/>
        <v>0</v>
      </c>
      <c r="T14" s="36">
        <f t="shared" si="1"/>
        <v>0</v>
      </c>
      <c r="U14" s="36">
        <f t="shared" si="1"/>
        <v>0</v>
      </c>
      <c r="V14" s="36">
        <f t="shared" si="1"/>
        <v>0</v>
      </c>
      <c r="W14" s="36">
        <f t="shared" si="1"/>
        <v>0</v>
      </c>
      <c r="X14" s="36">
        <f t="shared" si="1"/>
        <v>0</v>
      </c>
      <c r="Y14" s="36">
        <f t="shared" si="1"/>
        <v>0</v>
      </c>
      <c r="Z14" s="36">
        <f t="shared" si="1"/>
        <v>0</v>
      </c>
      <c r="AA14" s="36">
        <f t="shared" si="1"/>
        <v>0</v>
      </c>
      <c r="AB14" s="36">
        <f t="shared" si="1"/>
        <v>0</v>
      </c>
      <c r="AC14" s="36">
        <f t="shared" si="1"/>
        <v>0</v>
      </c>
      <c r="AD14" s="36">
        <f t="shared" si="1"/>
        <v>0</v>
      </c>
      <c r="AE14" s="36">
        <f t="shared" si="1"/>
        <v>0</v>
      </c>
      <c r="AF14" s="36">
        <f t="shared" si="1"/>
        <v>0</v>
      </c>
      <c r="AG14" s="36">
        <f t="shared" si="1"/>
        <v>0</v>
      </c>
      <c r="AH14" s="36">
        <f t="shared" si="1"/>
        <v>0</v>
      </c>
      <c r="AI14" s="36">
        <f t="shared" si="1"/>
        <v>0</v>
      </c>
      <c r="AJ14" s="36">
        <f t="shared" si="1"/>
        <v>0</v>
      </c>
    </row>
    <row r="15" spans="1:36" ht="18.75" x14ac:dyDescent="0.3">
      <c r="A15" s="105"/>
      <c r="B15" s="37" t="s">
        <v>54</v>
      </c>
      <c r="C15" s="35" t="s">
        <v>18</v>
      </c>
      <c r="D15" s="35"/>
      <c r="E15" s="35"/>
      <c r="F15" s="36">
        <f t="shared" ref="F15:AJ15" si="2">COUNTIF(F4:F10,"B")</f>
        <v>1</v>
      </c>
      <c r="G15" s="36">
        <f t="shared" si="2"/>
        <v>1</v>
      </c>
      <c r="H15" s="36">
        <f t="shared" si="2"/>
        <v>2</v>
      </c>
      <c r="I15" s="36">
        <f t="shared" si="2"/>
        <v>1</v>
      </c>
      <c r="J15" s="36">
        <f t="shared" si="2"/>
        <v>1</v>
      </c>
      <c r="K15" s="36">
        <f t="shared" si="2"/>
        <v>1</v>
      </c>
      <c r="L15" s="36">
        <f t="shared" si="2"/>
        <v>1</v>
      </c>
      <c r="M15" s="36">
        <f t="shared" si="2"/>
        <v>1</v>
      </c>
      <c r="N15" s="36">
        <f t="shared" si="2"/>
        <v>1</v>
      </c>
      <c r="O15" s="36">
        <f t="shared" si="2"/>
        <v>2</v>
      </c>
      <c r="P15" s="36">
        <f t="shared" si="2"/>
        <v>1</v>
      </c>
      <c r="Q15" s="36">
        <f t="shared" si="2"/>
        <v>1</v>
      </c>
      <c r="R15" s="36">
        <f t="shared" si="2"/>
        <v>1</v>
      </c>
      <c r="S15" s="36">
        <f t="shared" si="2"/>
        <v>2</v>
      </c>
      <c r="T15" s="36">
        <f t="shared" si="2"/>
        <v>2</v>
      </c>
      <c r="U15" s="36">
        <f t="shared" si="2"/>
        <v>2</v>
      </c>
      <c r="V15" s="36">
        <f t="shared" si="2"/>
        <v>1</v>
      </c>
      <c r="W15" s="36">
        <f t="shared" si="2"/>
        <v>1</v>
      </c>
      <c r="X15" s="36">
        <f t="shared" si="2"/>
        <v>1</v>
      </c>
      <c r="Y15" s="36">
        <f t="shared" si="2"/>
        <v>1</v>
      </c>
      <c r="Z15" s="36">
        <f t="shared" si="2"/>
        <v>2</v>
      </c>
      <c r="AA15" s="36">
        <f t="shared" si="2"/>
        <v>1</v>
      </c>
      <c r="AB15" s="36">
        <f t="shared" si="2"/>
        <v>1</v>
      </c>
      <c r="AC15" s="36">
        <f t="shared" si="2"/>
        <v>1</v>
      </c>
      <c r="AD15" s="36">
        <f t="shared" si="2"/>
        <v>1</v>
      </c>
      <c r="AE15" s="36">
        <f t="shared" si="2"/>
        <v>1</v>
      </c>
      <c r="AF15" s="36">
        <f t="shared" si="2"/>
        <v>1</v>
      </c>
      <c r="AG15" s="36">
        <f t="shared" si="2"/>
        <v>1</v>
      </c>
      <c r="AH15" s="36">
        <f t="shared" si="2"/>
        <v>1</v>
      </c>
      <c r="AI15" s="36">
        <f t="shared" si="2"/>
        <v>1</v>
      </c>
      <c r="AJ15" s="36">
        <f t="shared" si="2"/>
        <v>1</v>
      </c>
    </row>
    <row r="16" spans="1:36" ht="18.75" x14ac:dyDescent="0.3">
      <c r="A16" s="105"/>
      <c r="B16" s="37" t="s">
        <v>55</v>
      </c>
      <c r="C16" s="35" t="s">
        <v>22</v>
      </c>
      <c r="D16" s="35"/>
      <c r="E16" s="35"/>
      <c r="F16" s="36">
        <f t="shared" ref="F16:AJ16" si="3">COUNTIF(F4:F10,"C")</f>
        <v>1</v>
      </c>
      <c r="G16" s="36">
        <f t="shared" si="3"/>
        <v>0</v>
      </c>
      <c r="H16" s="36">
        <f t="shared" si="3"/>
        <v>0</v>
      </c>
      <c r="I16" s="36">
        <f t="shared" si="3"/>
        <v>1</v>
      </c>
      <c r="J16" s="36">
        <f t="shared" si="3"/>
        <v>0</v>
      </c>
      <c r="K16" s="36">
        <f t="shared" si="3"/>
        <v>0</v>
      </c>
      <c r="L16" s="36">
        <f t="shared" si="3"/>
        <v>0</v>
      </c>
      <c r="M16" s="36">
        <f t="shared" si="3"/>
        <v>0</v>
      </c>
      <c r="N16" s="36">
        <f t="shared" si="3"/>
        <v>0</v>
      </c>
      <c r="O16" s="36">
        <f t="shared" si="3"/>
        <v>0</v>
      </c>
      <c r="P16" s="36">
        <f t="shared" si="3"/>
        <v>1</v>
      </c>
      <c r="Q16" s="36">
        <f t="shared" si="3"/>
        <v>1</v>
      </c>
      <c r="R16" s="36">
        <f t="shared" si="3"/>
        <v>0</v>
      </c>
      <c r="S16" s="36">
        <f t="shared" si="3"/>
        <v>0</v>
      </c>
      <c r="T16" s="36">
        <f t="shared" si="3"/>
        <v>0</v>
      </c>
      <c r="U16" s="36">
        <f t="shared" si="3"/>
        <v>0</v>
      </c>
      <c r="V16" s="36">
        <f t="shared" si="3"/>
        <v>0</v>
      </c>
      <c r="W16" s="36">
        <f t="shared" si="3"/>
        <v>1</v>
      </c>
      <c r="X16" s="36">
        <f t="shared" si="3"/>
        <v>1</v>
      </c>
      <c r="Y16" s="36">
        <f t="shared" si="3"/>
        <v>0</v>
      </c>
      <c r="Z16" s="36">
        <f t="shared" si="3"/>
        <v>1</v>
      </c>
      <c r="AA16" s="36">
        <f t="shared" si="3"/>
        <v>0</v>
      </c>
      <c r="AB16" s="36">
        <f t="shared" si="3"/>
        <v>0</v>
      </c>
      <c r="AC16" s="36">
        <f t="shared" si="3"/>
        <v>0</v>
      </c>
      <c r="AD16" s="36">
        <f t="shared" si="3"/>
        <v>1</v>
      </c>
      <c r="AE16" s="36">
        <f t="shared" si="3"/>
        <v>1</v>
      </c>
      <c r="AF16" s="36">
        <f t="shared" si="3"/>
        <v>0</v>
      </c>
      <c r="AG16" s="36">
        <f t="shared" si="3"/>
        <v>1</v>
      </c>
      <c r="AH16" s="36">
        <f t="shared" si="3"/>
        <v>0</v>
      </c>
      <c r="AI16" s="36">
        <f t="shared" si="3"/>
        <v>1</v>
      </c>
      <c r="AJ16" s="36">
        <f t="shared" si="3"/>
        <v>0</v>
      </c>
    </row>
    <row r="17" spans="1:36" ht="18.75" x14ac:dyDescent="0.3">
      <c r="A17" s="105"/>
      <c r="B17" s="37" t="s">
        <v>56</v>
      </c>
      <c r="C17" s="35" t="s">
        <v>41</v>
      </c>
      <c r="D17" s="35"/>
      <c r="E17" s="35"/>
      <c r="F17" s="36">
        <f t="shared" ref="F17:AJ17" si="4">COUNTIF(F4:F10,"A2")</f>
        <v>0</v>
      </c>
      <c r="G17" s="36">
        <f t="shared" si="4"/>
        <v>0</v>
      </c>
      <c r="H17" s="36">
        <f t="shared" si="4"/>
        <v>0</v>
      </c>
      <c r="I17" s="36">
        <f t="shared" si="4"/>
        <v>0</v>
      </c>
      <c r="J17" s="36">
        <f t="shared" si="4"/>
        <v>0</v>
      </c>
      <c r="K17" s="36">
        <f t="shared" si="4"/>
        <v>1</v>
      </c>
      <c r="L17" s="36">
        <f t="shared" si="4"/>
        <v>0</v>
      </c>
      <c r="M17" s="36">
        <f t="shared" si="4"/>
        <v>0</v>
      </c>
      <c r="N17" s="36">
        <f t="shared" si="4"/>
        <v>0</v>
      </c>
      <c r="O17" s="36">
        <f t="shared" si="4"/>
        <v>0</v>
      </c>
      <c r="P17" s="36">
        <f t="shared" si="4"/>
        <v>0</v>
      </c>
      <c r="Q17" s="36">
        <f t="shared" si="4"/>
        <v>0</v>
      </c>
      <c r="R17" s="36">
        <f t="shared" si="4"/>
        <v>0</v>
      </c>
      <c r="S17" s="36">
        <f t="shared" si="4"/>
        <v>0</v>
      </c>
      <c r="T17" s="36">
        <f t="shared" si="4"/>
        <v>0</v>
      </c>
      <c r="U17" s="36">
        <f t="shared" si="4"/>
        <v>0</v>
      </c>
      <c r="V17" s="36">
        <f t="shared" si="4"/>
        <v>0</v>
      </c>
      <c r="W17" s="36">
        <f t="shared" si="4"/>
        <v>0</v>
      </c>
      <c r="X17" s="36">
        <f t="shared" si="4"/>
        <v>0</v>
      </c>
      <c r="Y17" s="36">
        <f t="shared" si="4"/>
        <v>0</v>
      </c>
      <c r="Z17" s="36">
        <f t="shared" si="4"/>
        <v>0</v>
      </c>
      <c r="AA17" s="36">
        <f t="shared" si="4"/>
        <v>0</v>
      </c>
      <c r="AB17" s="36">
        <f t="shared" si="4"/>
        <v>0</v>
      </c>
      <c r="AC17" s="36">
        <f t="shared" si="4"/>
        <v>0</v>
      </c>
      <c r="AD17" s="36">
        <f t="shared" si="4"/>
        <v>0</v>
      </c>
      <c r="AE17" s="36">
        <f t="shared" si="4"/>
        <v>0</v>
      </c>
      <c r="AF17" s="36">
        <f t="shared" si="4"/>
        <v>0</v>
      </c>
      <c r="AG17" s="36">
        <f t="shared" si="4"/>
        <v>0</v>
      </c>
      <c r="AH17" s="36">
        <f t="shared" si="4"/>
        <v>0</v>
      </c>
      <c r="AI17" s="36">
        <f t="shared" si="4"/>
        <v>0</v>
      </c>
      <c r="AJ17" s="36">
        <f t="shared" si="4"/>
        <v>1</v>
      </c>
    </row>
    <row r="18" spans="1:36" ht="18.75" x14ac:dyDescent="0.3">
      <c r="A18" s="105"/>
      <c r="B18" s="37" t="s">
        <v>57</v>
      </c>
      <c r="C18" s="35" t="s">
        <v>37</v>
      </c>
      <c r="D18" s="35"/>
      <c r="E18" s="35"/>
      <c r="F18" s="36">
        <f t="shared" ref="F18:AJ18" si="5">COUNTIF(F4:F10,"A3")</f>
        <v>0</v>
      </c>
      <c r="G18" s="36">
        <f t="shared" si="5"/>
        <v>0</v>
      </c>
      <c r="H18" s="36">
        <f t="shared" si="5"/>
        <v>0</v>
      </c>
      <c r="I18" s="36">
        <f t="shared" si="5"/>
        <v>0</v>
      </c>
      <c r="J18" s="36">
        <f t="shared" si="5"/>
        <v>0</v>
      </c>
      <c r="K18" s="36">
        <f t="shared" si="5"/>
        <v>0</v>
      </c>
      <c r="L18" s="36">
        <f t="shared" si="5"/>
        <v>0</v>
      </c>
      <c r="M18" s="36">
        <f t="shared" si="5"/>
        <v>0</v>
      </c>
      <c r="N18" s="36">
        <f t="shared" si="5"/>
        <v>0</v>
      </c>
      <c r="O18" s="36">
        <f t="shared" si="5"/>
        <v>0</v>
      </c>
      <c r="P18" s="36">
        <f t="shared" si="5"/>
        <v>1</v>
      </c>
      <c r="Q18" s="36">
        <f t="shared" si="5"/>
        <v>0</v>
      </c>
      <c r="R18" s="36">
        <f t="shared" si="5"/>
        <v>0</v>
      </c>
      <c r="S18" s="36">
        <f t="shared" si="5"/>
        <v>0</v>
      </c>
      <c r="T18" s="36">
        <f t="shared" si="5"/>
        <v>0</v>
      </c>
      <c r="U18" s="36">
        <f t="shared" si="5"/>
        <v>0</v>
      </c>
      <c r="V18" s="36">
        <f t="shared" si="5"/>
        <v>0</v>
      </c>
      <c r="W18" s="36">
        <f t="shared" si="5"/>
        <v>0</v>
      </c>
      <c r="X18" s="36">
        <f t="shared" si="5"/>
        <v>0</v>
      </c>
      <c r="Y18" s="36">
        <f t="shared" si="5"/>
        <v>0</v>
      </c>
      <c r="Z18" s="36">
        <f t="shared" si="5"/>
        <v>0</v>
      </c>
      <c r="AA18" s="36">
        <f t="shared" si="5"/>
        <v>0</v>
      </c>
      <c r="AB18" s="36">
        <f t="shared" si="5"/>
        <v>0</v>
      </c>
      <c r="AC18" s="36">
        <f t="shared" si="5"/>
        <v>0</v>
      </c>
      <c r="AD18" s="36">
        <f t="shared" si="5"/>
        <v>0</v>
      </c>
      <c r="AE18" s="36">
        <f t="shared" si="5"/>
        <v>0</v>
      </c>
      <c r="AF18" s="36">
        <f t="shared" si="5"/>
        <v>0</v>
      </c>
      <c r="AG18" s="36">
        <f t="shared" si="5"/>
        <v>0</v>
      </c>
      <c r="AH18" s="36">
        <f t="shared" si="5"/>
        <v>0</v>
      </c>
      <c r="AI18" s="36">
        <f t="shared" si="5"/>
        <v>0</v>
      </c>
      <c r="AJ18" s="36">
        <f t="shared" si="5"/>
        <v>0</v>
      </c>
    </row>
    <row r="19" spans="1:36" ht="18.75" x14ac:dyDescent="0.3">
      <c r="A19" s="105"/>
      <c r="B19" s="37" t="s">
        <v>58</v>
      </c>
      <c r="C19" s="35" t="s">
        <v>36</v>
      </c>
      <c r="D19" s="35"/>
      <c r="E19" s="35"/>
      <c r="F19" s="36">
        <f t="shared" ref="F19:AJ19" si="6">COUNTIF(F4:F10,"A4")</f>
        <v>0</v>
      </c>
      <c r="G19" s="36">
        <f t="shared" si="6"/>
        <v>1</v>
      </c>
      <c r="H19" s="36">
        <f t="shared" si="6"/>
        <v>1</v>
      </c>
      <c r="I19" s="36">
        <f t="shared" si="6"/>
        <v>0</v>
      </c>
      <c r="J19" s="36">
        <f t="shared" si="6"/>
        <v>0</v>
      </c>
      <c r="K19" s="36">
        <f t="shared" si="6"/>
        <v>0</v>
      </c>
      <c r="L19" s="36">
        <f t="shared" si="6"/>
        <v>0</v>
      </c>
      <c r="M19" s="36">
        <f t="shared" si="6"/>
        <v>1</v>
      </c>
      <c r="N19" s="36">
        <f t="shared" si="6"/>
        <v>1</v>
      </c>
      <c r="O19" s="36">
        <f t="shared" si="6"/>
        <v>1</v>
      </c>
      <c r="P19" s="36">
        <f t="shared" si="6"/>
        <v>0</v>
      </c>
      <c r="Q19" s="36">
        <f t="shared" si="6"/>
        <v>0</v>
      </c>
      <c r="R19" s="36">
        <f t="shared" si="6"/>
        <v>1</v>
      </c>
      <c r="S19" s="36">
        <f t="shared" si="6"/>
        <v>0</v>
      </c>
      <c r="T19" s="36">
        <f t="shared" si="6"/>
        <v>1</v>
      </c>
      <c r="U19" s="36">
        <f t="shared" si="6"/>
        <v>1</v>
      </c>
      <c r="V19" s="36">
        <f t="shared" si="6"/>
        <v>1</v>
      </c>
      <c r="W19" s="36">
        <f t="shared" si="6"/>
        <v>0</v>
      </c>
      <c r="X19" s="36">
        <f t="shared" si="6"/>
        <v>0</v>
      </c>
      <c r="Y19" s="36">
        <f t="shared" si="6"/>
        <v>1</v>
      </c>
      <c r="Z19" s="36">
        <f t="shared" si="6"/>
        <v>0</v>
      </c>
      <c r="AA19" s="36">
        <f t="shared" si="6"/>
        <v>1</v>
      </c>
      <c r="AB19" s="36">
        <f t="shared" si="6"/>
        <v>1</v>
      </c>
      <c r="AC19" s="36">
        <f t="shared" si="6"/>
        <v>1</v>
      </c>
      <c r="AD19" s="36">
        <f t="shared" si="6"/>
        <v>1</v>
      </c>
      <c r="AE19" s="36">
        <f t="shared" si="6"/>
        <v>0</v>
      </c>
      <c r="AF19" s="36">
        <f t="shared" si="6"/>
        <v>1</v>
      </c>
      <c r="AG19" s="36">
        <f t="shared" si="6"/>
        <v>0</v>
      </c>
      <c r="AH19" s="36">
        <f t="shared" si="6"/>
        <v>1</v>
      </c>
      <c r="AI19" s="36">
        <f t="shared" si="6"/>
        <v>1</v>
      </c>
      <c r="AJ19" s="36">
        <f t="shared" si="6"/>
        <v>1</v>
      </c>
    </row>
    <row r="20" spans="1:36" ht="18.75" x14ac:dyDescent="0.3">
      <c r="A20" s="105"/>
      <c r="B20" s="37" t="s">
        <v>59</v>
      </c>
      <c r="C20" s="35" t="s">
        <v>42</v>
      </c>
      <c r="D20" s="35"/>
      <c r="E20" s="35"/>
      <c r="F20" s="36">
        <f t="shared" ref="F20:AJ20" si="7">COUNTIF(F4:F10,"A5")</f>
        <v>0</v>
      </c>
      <c r="G20" s="36">
        <f t="shared" si="7"/>
        <v>0</v>
      </c>
      <c r="H20" s="36">
        <f t="shared" si="7"/>
        <v>0</v>
      </c>
      <c r="I20" s="36">
        <f t="shared" si="7"/>
        <v>0</v>
      </c>
      <c r="J20" s="36">
        <f t="shared" si="7"/>
        <v>0</v>
      </c>
      <c r="K20" s="36">
        <f t="shared" si="7"/>
        <v>0</v>
      </c>
      <c r="L20" s="36">
        <f t="shared" si="7"/>
        <v>0</v>
      </c>
      <c r="M20" s="36">
        <f t="shared" si="7"/>
        <v>0</v>
      </c>
      <c r="N20" s="36">
        <f t="shared" si="7"/>
        <v>0</v>
      </c>
      <c r="O20" s="36">
        <f t="shared" si="7"/>
        <v>1</v>
      </c>
      <c r="P20" s="36">
        <f t="shared" si="7"/>
        <v>0</v>
      </c>
      <c r="Q20" s="36">
        <f t="shared" si="7"/>
        <v>0</v>
      </c>
      <c r="R20" s="36">
        <f t="shared" si="7"/>
        <v>0</v>
      </c>
      <c r="S20" s="36">
        <f t="shared" si="7"/>
        <v>0</v>
      </c>
      <c r="T20" s="36">
        <f t="shared" si="7"/>
        <v>0</v>
      </c>
      <c r="U20" s="36">
        <f t="shared" si="7"/>
        <v>0</v>
      </c>
      <c r="V20" s="36">
        <f t="shared" si="7"/>
        <v>0</v>
      </c>
      <c r="W20" s="36">
        <f t="shared" si="7"/>
        <v>1</v>
      </c>
      <c r="X20" s="36">
        <f t="shared" si="7"/>
        <v>0</v>
      </c>
      <c r="Y20" s="36">
        <f t="shared" si="7"/>
        <v>0</v>
      </c>
      <c r="Z20" s="36">
        <f t="shared" si="7"/>
        <v>0</v>
      </c>
      <c r="AA20" s="36">
        <f t="shared" si="7"/>
        <v>0</v>
      </c>
      <c r="AB20" s="36">
        <f t="shared" si="7"/>
        <v>0</v>
      </c>
      <c r="AC20" s="36">
        <f t="shared" si="7"/>
        <v>0</v>
      </c>
      <c r="AD20" s="36">
        <f t="shared" si="7"/>
        <v>0</v>
      </c>
      <c r="AE20" s="36">
        <f t="shared" si="7"/>
        <v>0</v>
      </c>
      <c r="AF20" s="36">
        <f t="shared" si="7"/>
        <v>0</v>
      </c>
      <c r="AG20" s="36">
        <f t="shared" si="7"/>
        <v>0</v>
      </c>
      <c r="AH20" s="36">
        <f t="shared" si="7"/>
        <v>0</v>
      </c>
      <c r="AI20" s="36">
        <f t="shared" si="7"/>
        <v>0</v>
      </c>
      <c r="AJ20" s="36">
        <f t="shared" si="7"/>
        <v>0</v>
      </c>
    </row>
    <row r="21" spans="1:36" ht="18.75" x14ac:dyDescent="0.3">
      <c r="A21" s="105"/>
      <c r="B21" s="37" t="s">
        <v>60</v>
      </c>
      <c r="C21" s="35" t="s">
        <v>49</v>
      </c>
      <c r="D21" s="35"/>
      <c r="E21" s="35"/>
      <c r="F21" s="36">
        <f t="shared" ref="F21:AJ21" si="8">COUNTIF(F4:F10,"A6")</f>
        <v>0</v>
      </c>
      <c r="G21" s="36">
        <f t="shared" si="8"/>
        <v>0</v>
      </c>
      <c r="H21" s="36">
        <f t="shared" si="8"/>
        <v>0</v>
      </c>
      <c r="I21" s="36">
        <f t="shared" si="8"/>
        <v>0</v>
      </c>
      <c r="J21" s="36">
        <f t="shared" si="8"/>
        <v>0</v>
      </c>
      <c r="K21" s="36">
        <f t="shared" si="8"/>
        <v>0</v>
      </c>
      <c r="L21" s="36">
        <f t="shared" si="8"/>
        <v>0</v>
      </c>
      <c r="M21" s="36">
        <f t="shared" si="8"/>
        <v>0</v>
      </c>
      <c r="N21" s="36">
        <f t="shared" si="8"/>
        <v>0</v>
      </c>
      <c r="O21" s="36">
        <f t="shared" si="8"/>
        <v>1</v>
      </c>
      <c r="P21" s="36">
        <f t="shared" si="8"/>
        <v>0</v>
      </c>
      <c r="Q21" s="36">
        <f t="shared" si="8"/>
        <v>0</v>
      </c>
      <c r="R21" s="36">
        <f t="shared" si="8"/>
        <v>0</v>
      </c>
      <c r="S21" s="36">
        <f t="shared" si="8"/>
        <v>0</v>
      </c>
      <c r="T21" s="36">
        <f t="shared" si="8"/>
        <v>0</v>
      </c>
      <c r="U21" s="36">
        <f t="shared" si="8"/>
        <v>0</v>
      </c>
      <c r="V21" s="36">
        <f t="shared" si="8"/>
        <v>0</v>
      </c>
      <c r="W21" s="36">
        <f t="shared" si="8"/>
        <v>0</v>
      </c>
      <c r="X21" s="36">
        <f t="shared" si="8"/>
        <v>0</v>
      </c>
      <c r="Y21" s="36">
        <f t="shared" si="8"/>
        <v>0</v>
      </c>
      <c r="Z21" s="36">
        <f t="shared" si="8"/>
        <v>0</v>
      </c>
      <c r="AA21" s="36">
        <f t="shared" si="8"/>
        <v>0</v>
      </c>
      <c r="AB21" s="36">
        <f t="shared" si="8"/>
        <v>0</v>
      </c>
      <c r="AC21" s="36">
        <f t="shared" si="8"/>
        <v>0</v>
      </c>
      <c r="AD21" s="36">
        <f t="shared" si="8"/>
        <v>0</v>
      </c>
      <c r="AE21" s="36">
        <f t="shared" si="8"/>
        <v>1</v>
      </c>
      <c r="AF21" s="36">
        <f t="shared" si="8"/>
        <v>0</v>
      </c>
      <c r="AG21" s="36">
        <f t="shared" si="8"/>
        <v>0</v>
      </c>
      <c r="AH21" s="36">
        <f t="shared" si="8"/>
        <v>0</v>
      </c>
      <c r="AI21" s="36">
        <f t="shared" si="8"/>
        <v>0</v>
      </c>
      <c r="AJ21" s="36">
        <f t="shared" si="8"/>
        <v>0</v>
      </c>
    </row>
    <row r="22" spans="1:36" ht="18.75" x14ac:dyDescent="0.3">
      <c r="A22" s="105"/>
      <c r="B22" s="37" t="s">
        <v>61</v>
      </c>
      <c r="C22" s="35" t="s">
        <v>62</v>
      </c>
      <c r="D22" s="35"/>
      <c r="E22" s="35"/>
      <c r="F22" s="36">
        <f t="shared" ref="F22:AJ22" si="9">COUNTIF(F4:F10,"A7")</f>
        <v>0</v>
      </c>
      <c r="G22" s="36">
        <f t="shared" si="9"/>
        <v>0</v>
      </c>
      <c r="H22" s="36">
        <f t="shared" si="9"/>
        <v>0</v>
      </c>
      <c r="I22" s="36">
        <f t="shared" si="9"/>
        <v>0</v>
      </c>
      <c r="J22" s="36">
        <f t="shared" si="9"/>
        <v>0</v>
      </c>
      <c r="K22" s="36">
        <f t="shared" si="9"/>
        <v>0</v>
      </c>
      <c r="L22" s="36">
        <f t="shared" si="9"/>
        <v>0</v>
      </c>
      <c r="M22" s="36">
        <f t="shared" si="9"/>
        <v>0</v>
      </c>
      <c r="N22" s="36">
        <f t="shared" si="9"/>
        <v>0</v>
      </c>
      <c r="O22" s="36">
        <f t="shared" si="9"/>
        <v>0</v>
      </c>
      <c r="P22" s="36">
        <f t="shared" si="9"/>
        <v>0</v>
      </c>
      <c r="Q22" s="36">
        <f t="shared" si="9"/>
        <v>0</v>
      </c>
      <c r="R22" s="36">
        <f t="shared" si="9"/>
        <v>0</v>
      </c>
      <c r="S22" s="36">
        <f t="shared" si="9"/>
        <v>0</v>
      </c>
      <c r="T22" s="36">
        <f t="shared" si="9"/>
        <v>0</v>
      </c>
      <c r="U22" s="36">
        <f t="shared" si="9"/>
        <v>0</v>
      </c>
      <c r="V22" s="36">
        <f t="shared" si="9"/>
        <v>0</v>
      </c>
      <c r="W22" s="36">
        <f t="shared" si="9"/>
        <v>0</v>
      </c>
      <c r="X22" s="36">
        <f t="shared" si="9"/>
        <v>0</v>
      </c>
      <c r="Y22" s="36">
        <f t="shared" si="9"/>
        <v>0</v>
      </c>
      <c r="Z22" s="36">
        <f t="shared" si="9"/>
        <v>0</v>
      </c>
      <c r="AA22" s="36">
        <f t="shared" si="9"/>
        <v>0</v>
      </c>
      <c r="AB22" s="36">
        <f t="shared" si="9"/>
        <v>0</v>
      </c>
      <c r="AC22" s="36">
        <f t="shared" si="9"/>
        <v>0</v>
      </c>
      <c r="AD22" s="36">
        <f t="shared" si="9"/>
        <v>0</v>
      </c>
      <c r="AE22" s="36">
        <f t="shared" si="9"/>
        <v>0</v>
      </c>
      <c r="AF22" s="36">
        <f t="shared" si="9"/>
        <v>0</v>
      </c>
      <c r="AG22" s="36">
        <f t="shared" si="9"/>
        <v>0</v>
      </c>
      <c r="AH22" s="36">
        <f t="shared" si="9"/>
        <v>0</v>
      </c>
      <c r="AI22" s="36">
        <f t="shared" si="9"/>
        <v>0</v>
      </c>
      <c r="AJ22" s="36">
        <f t="shared" si="9"/>
        <v>0</v>
      </c>
    </row>
    <row r="23" spans="1:36" ht="18.75" x14ac:dyDescent="0.3">
      <c r="A23" s="105"/>
      <c r="B23" s="37" t="s">
        <v>63</v>
      </c>
      <c r="C23" s="35" t="s">
        <v>64</v>
      </c>
      <c r="D23" s="35"/>
      <c r="E23" s="35"/>
      <c r="F23" s="36">
        <f t="shared" ref="F23:AJ23" si="10">COUNTIF(F4:F10,"A8")</f>
        <v>0</v>
      </c>
      <c r="G23" s="36">
        <f t="shared" si="10"/>
        <v>0</v>
      </c>
      <c r="H23" s="36">
        <f t="shared" si="10"/>
        <v>0</v>
      </c>
      <c r="I23" s="36">
        <f t="shared" si="10"/>
        <v>0</v>
      </c>
      <c r="J23" s="36">
        <f t="shared" si="10"/>
        <v>0</v>
      </c>
      <c r="K23" s="36">
        <f t="shared" si="10"/>
        <v>0</v>
      </c>
      <c r="L23" s="36">
        <f t="shared" si="10"/>
        <v>0</v>
      </c>
      <c r="M23" s="36">
        <f t="shared" si="10"/>
        <v>0</v>
      </c>
      <c r="N23" s="36">
        <f t="shared" si="10"/>
        <v>0</v>
      </c>
      <c r="O23" s="36">
        <f t="shared" si="10"/>
        <v>0</v>
      </c>
      <c r="P23" s="36">
        <f t="shared" si="10"/>
        <v>0</v>
      </c>
      <c r="Q23" s="36">
        <f t="shared" si="10"/>
        <v>0</v>
      </c>
      <c r="R23" s="36">
        <f t="shared" si="10"/>
        <v>0</v>
      </c>
      <c r="S23" s="36">
        <f t="shared" si="10"/>
        <v>0</v>
      </c>
      <c r="T23" s="36">
        <f t="shared" si="10"/>
        <v>0</v>
      </c>
      <c r="U23" s="36">
        <f t="shared" si="10"/>
        <v>0</v>
      </c>
      <c r="V23" s="36">
        <f t="shared" si="10"/>
        <v>0</v>
      </c>
      <c r="W23" s="36">
        <f t="shared" si="10"/>
        <v>0</v>
      </c>
      <c r="X23" s="36">
        <f t="shared" si="10"/>
        <v>0</v>
      </c>
      <c r="Y23" s="36">
        <f t="shared" si="10"/>
        <v>0</v>
      </c>
      <c r="Z23" s="36">
        <f t="shared" si="10"/>
        <v>0</v>
      </c>
      <c r="AA23" s="36">
        <f t="shared" si="10"/>
        <v>0</v>
      </c>
      <c r="AB23" s="36">
        <f t="shared" si="10"/>
        <v>0</v>
      </c>
      <c r="AC23" s="36">
        <f t="shared" si="10"/>
        <v>0</v>
      </c>
      <c r="AD23" s="36">
        <f t="shared" si="10"/>
        <v>0</v>
      </c>
      <c r="AE23" s="36">
        <f t="shared" si="10"/>
        <v>0</v>
      </c>
      <c r="AF23" s="36">
        <f t="shared" si="10"/>
        <v>0</v>
      </c>
      <c r="AG23" s="36">
        <f t="shared" si="10"/>
        <v>0</v>
      </c>
      <c r="AH23" s="36">
        <f t="shared" si="10"/>
        <v>0</v>
      </c>
      <c r="AI23" s="36">
        <f t="shared" si="10"/>
        <v>0</v>
      </c>
      <c r="AJ23" s="36">
        <f t="shared" si="10"/>
        <v>0</v>
      </c>
    </row>
    <row r="24" spans="1:36" ht="18.75" x14ac:dyDescent="0.3">
      <c r="A24" s="105"/>
      <c r="B24" s="37" t="s">
        <v>65</v>
      </c>
      <c r="C24" s="35" t="s">
        <v>66</v>
      </c>
      <c r="D24" s="35"/>
      <c r="E24" s="35"/>
      <c r="F24" s="36">
        <f t="shared" ref="F24:AJ24" si="11">COUNTIF(F4:F10,"A9")</f>
        <v>0</v>
      </c>
      <c r="G24" s="36">
        <f t="shared" si="11"/>
        <v>0</v>
      </c>
      <c r="H24" s="36">
        <f t="shared" si="11"/>
        <v>0</v>
      </c>
      <c r="I24" s="36">
        <f t="shared" si="11"/>
        <v>0</v>
      </c>
      <c r="J24" s="36">
        <f t="shared" si="11"/>
        <v>0</v>
      </c>
      <c r="K24" s="36">
        <f t="shared" si="11"/>
        <v>0</v>
      </c>
      <c r="L24" s="36">
        <f t="shared" si="11"/>
        <v>0</v>
      </c>
      <c r="M24" s="36">
        <f t="shared" si="11"/>
        <v>0</v>
      </c>
      <c r="N24" s="36">
        <f t="shared" si="11"/>
        <v>0</v>
      </c>
      <c r="O24" s="36">
        <f t="shared" si="11"/>
        <v>0</v>
      </c>
      <c r="P24" s="36">
        <f t="shared" si="11"/>
        <v>0</v>
      </c>
      <c r="Q24" s="36">
        <f t="shared" si="11"/>
        <v>0</v>
      </c>
      <c r="R24" s="36">
        <f t="shared" si="11"/>
        <v>0</v>
      </c>
      <c r="S24" s="36">
        <f t="shared" si="11"/>
        <v>0</v>
      </c>
      <c r="T24" s="36">
        <f t="shared" si="11"/>
        <v>0</v>
      </c>
      <c r="U24" s="36">
        <f t="shared" si="11"/>
        <v>0</v>
      </c>
      <c r="V24" s="36">
        <f t="shared" si="11"/>
        <v>0</v>
      </c>
      <c r="W24" s="36">
        <f t="shared" si="11"/>
        <v>0</v>
      </c>
      <c r="X24" s="36">
        <f t="shared" si="11"/>
        <v>0</v>
      </c>
      <c r="Y24" s="36">
        <f t="shared" si="11"/>
        <v>0</v>
      </c>
      <c r="Z24" s="36">
        <f t="shared" si="11"/>
        <v>0</v>
      </c>
      <c r="AA24" s="36">
        <f t="shared" si="11"/>
        <v>0</v>
      </c>
      <c r="AB24" s="36">
        <f t="shared" si="11"/>
        <v>0</v>
      </c>
      <c r="AC24" s="36">
        <f t="shared" si="11"/>
        <v>0</v>
      </c>
      <c r="AD24" s="36">
        <f t="shared" si="11"/>
        <v>0</v>
      </c>
      <c r="AE24" s="36">
        <f t="shared" si="11"/>
        <v>0</v>
      </c>
      <c r="AF24" s="36">
        <f t="shared" si="11"/>
        <v>0</v>
      </c>
      <c r="AG24" s="36">
        <f t="shared" si="11"/>
        <v>0</v>
      </c>
      <c r="AH24" s="36">
        <f t="shared" si="11"/>
        <v>0</v>
      </c>
      <c r="AI24" s="36">
        <f t="shared" si="11"/>
        <v>0</v>
      </c>
      <c r="AJ24" s="36">
        <f t="shared" si="11"/>
        <v>0</v>
      </c>
    </row>
    <row r="25" spans="1:36" ht="18.75" x14ac:dyDescent="0.3">
      <c r="A25" s="105"/>
      <c r="B25" s="37" t="s">
        <v>67</v>
      </c>
      <c r="C25" s="35" t="s">
        <v>35</v>
      </c>
      <c r="D25" s="35"/>
      <c r="E25" s="35"/>
      <c r="F25" s="36">
        <f t="shared" ref="F25:AJ25" si="12">COUNTIF(F4:F10,"A10")</f>
        <v>1</v>
      </c>
      <c r="G25" s="36">
        <f t="shared" si="12"/>
        <v>0</v>
      </c>
      <c r="H25" s="36">
        <f t="shared" si="12"/>
        <v>0</v>
      </c>
      <c r="I25" s="36">
        <f t="shared" si="12"/>
        <v>1</v>
      </c>
      <c r="J25" s="36">
        <f t="shared" si="12"/>
        <v>1</v>
      </c>
      <c r="K25" s="36">
        <f t="shared" si="12"/>
        <v>1</v>
      </c>
      <c r="L25" s="36">
        <f t="shared" si="12"/>
        <v>1</v>
      </c>
      <c r="M25" s="36">
        <f t="shared" si="12"/>
        <v>1</v>
      </c>
      <c r="N25" s="36">
        <f t="shared" si="12"/>
        <v>0</v>
      </c>
      <c r="O25" s="36">
        <f t="shared" si="12"/>
        <v>1</v>
      </c>
      <c r="P25" s="36">
        <f t="shared" si="12"/>
        <v>1</v>
      </c>
      <c r="Q25" s="36">
        <f t="shared" si="12"/>
        <v>1</v>
      </c>
      <c r="R25" s="36">
        <f t="shared" si="12"/>
        <v>1</v>
      </c>
      <c r="S25" s="36">
        <f t="shared" si="12"/>
        <v>1</v>
      </c>
      <c r="T25" s="36">
        <f t="shared" si="12"/>
        <v>0</v>
      </c>
      <c r="U25" s="36">
        <f t="shared" si="12"/>
        <v>1</v>
      </c>
      <c r="V25" s="36">
        <f t="shared" si="12"/>
        <v>0</v>
      </c>
      <c r="W25" s="36">
        <f t="shared" si="12"/>
        <v>1</v>
      </c>
      <c r="X25" s="36">
        <f t="shared" si="12"/>
        <v>1</v>
      </c>
      <c r="Y25" s="36">
        <f t="shared" si="12"/>
        <v>1</v>
      </c>
      <c r="Z25" s="36">
        <f t="shared" si="12"/>
        <v>1</v>
      </c>
      <c r="AA25" s="36">
        <f t="shared" si="12"/>
        <v>0</v>
      </c>
      <c r="AB25" s="36">
        <f t="shared" si="12"/>
        <v>1</v>
      </c>
      <c r="AC25" s="36">
        <f t="shared" si="12"/>
        <v>1</v>
      </c>
      <c r="AD25" s="36">
        <f t="shared" si="12"/>
        <v>1</v>
      </c>
      <c r="AE25" s="36">
        <f t="shared" si="12"/>
        <v>0</v>
      </c>
      <c r="AF25" s="36">
        <f t="shared" si="12"/>
        <v>2</v>
      </c>
      <c r="AG25" s="36">
        <f t="shared" si="12"/>
        <v>2</v>
      </c>
      <c r="AH25" s="36">
        <f t="shared" si="12"/>
        <v>1</v>
      </c>
      <c r="AI25" s="36">
        <f t="shared" si="12"/>
        <v>1</v>
      </c>
      <c r="AJ25" s="36">
        <f t="shared" si="12"/>
        <v>1</v>
      </c>
    </row>
    <row r="26" spans="1:36" ht="18.75" x14ac:dyDescent="0.3">
      <c r="A26" s="105"/>
      <c r="B26" s="37" t="s">
        <v>68</v>
      </c>
      <c r="C26" s="35" t="s">
        <v>47</v>
      </c>
      <c r="D26" s="35"/>
      <c r="E26" s="35"/>
      <c r="F26" s="36">
        <f t="shared" ref="F26:AJ26" si="13">COUNTIF(F5:F11,"A11")</f>
        <v>0</v>
      </c>
      <c r="G26" s="36">
        <f t="shared" si="13"/>
        <v>0</v>
      </c>
      <c r="H26" s="36">
        <f t="shared" si="13"/>
        <v>0</v>
      </c>
      <c r="I26" s="36">
        <f t="shared" si="13"/>
        <v>0</v>
      </c>
      <c r="J26" s="36">
        <f t="shared" si="13"/>
        <v>0</v>
      </c>
      <c r="K26" s="36">
        <f t="shared" si="13"/>
        <v>0</v>
      </c>
      <c r="L26" s="36">
        <f t="shared" si="13"/>
        <v>0</v>
      </c>
      <c r="M26" s="36">
        <f t="shared" si="13"/>
        <v>0</v>
      </c>
      <c r="N26" s="36">
        <f t="shared" si="13"/>
        <v>0</v>
      </c>
      <c r="O26" s="36">
        <f t="shared" si="13"/>
        <v>0</v>
      </c>
      <c r="P26" s="36">
        <f t="shared" si="13"/>
        <v>1</v>
      </c>
      <c r="Q26" s="36">
        <f t="shared" si="13"/>
        <v>0</v>
      </c>
      <c r="R26" s="36">
        <f t="shared" si="13"/>
        <v>0</v>
      </c>
      <c r="S26" s="36">
        <f t="shared" si="13"/>
        <v>0</v>
      </c>
      <c r="T26" s="36">
        <f t="shared" si="13"/>
        <v>0</v>
      </c>
      <c r="U26" s="36">
        <f t="shared" si="13"/>
        <v>0</v>
      </c>
      <c r="V26" s="36">
        <f t="shared" si="13"/>
        <v>0</v>
      </c>
      <c r="W26" s="36">
        <f t="shared" si="13"/>
        <v>0</v>
      </c>
      <c r="X26" s="36">
        <f t="shared" si="13"/>
        <v>0</v>
      </c>
      <c r="Y26" s="36">
        <f t="shared" si="13"/>
        <v>0</v>
      </c>
      <c r="Z26" s="36">
        <f t="shared" si="13"/>
        <v>0</v>
      </c>
      <c r="AA26" s="36">
        <f t="shared" si="13"/>
        <v>0</v>
      </c>
      <c r="AB26" s="36">
        <f t="shared" si="13"/>
        <v>0</v>
      </c>
      <c r="AC26" s="36">
        <f t="shared" si="13"/>
        <v>0</v>
      </c>
      <c r="AD26" s="36">
        <f t="shared" si="13"/>
        <v>0</v>
      </c>
      <c r="AE26" s="36">
        <f t="shared" si="13"/>
        <v>0</v>
      </c>
      <c r="AF26" s="36">
        <f t="shared" si="13"/>
        <v>0</v>
      </c>
      <c r="AG26" s="36">
        <f t="shared" si="13"/>
        <v>0</v>
      </c>
      <c r="AH26" s="36">
        <f t="shared" si="13"/>
        <v>0</v>
      </c>
      <c r="AI26" s="36">
        <f t="shared" si="13"/>
        <v>0</v>
      </c>
      <c r="AJ26" s="36">
        <f t="shared" si="13"/>
        <v>0</v>
      </c>
    </row>
    <row r="27" spans="1:36" ht="18.75" x14ac:dyDescent="0.3">
      <c r="A27" s="105"/>
      <c r="B27" s="38" t="s">
        <v>69</v>
      </c>
      <c r="C27" s="35" t="s">
        <v>0</v>
      </c>
      <c r="D27" s="35"/>
      <c r="E27" s="35"/>
      <c r="F27" s="36">
        <f>COUNTIF(F4:F11,"OFF")</f>
        <v>0</v>
      </c>
      <c r="G27" s="36">
        <f t="shared" ref="G27:AJ27" si="14">COUNTIF(G4:G10,"OFF")</f>
        <v>2</v>
      </c>
      <c r="H27" s="36">
        <f t="shared" si="14"/>
        <v>1</v>
      </c>
      <c r="I27" s="36">
        <f t="shared" si="14"/>
        <v>1</v>
      </c>
      <c r="J27" s="36">
        <f t="shared" si="14"/>
        <v>2</v>
      </c>
      <c r="K27" s="36">
        <f t="shared" si="14"/>
        <v>1</v>
      </c>
      <c r="L27" s="36">
        <f t="shared" si="14"/>
        <v>1</v>
      </c>
      <c r="M27" s="36">
        <f t="shared" si="14"/>
        <v>0</v>
      </c>
      <c r="N27" s="36">
        <f t="shared" si="14"/>
        <v>2</v>
      </c>
      <c r="O27" s="36">
        <f t="shared" si="14"/>
        <v>0</v>
      </c>
      <c r="P27" s="36">
        <f t="shared" si="14"/>
        <v>0</v>
      </c>
      <c r="Q27" s="36">
        <f t="shared" si="14"/>
        <v>1</v>
      </c>
      <c r="R27" s="36">
        <f t="shared" si="14"/>
        <v>1</v>
      </c>
      <c r="S27" s="36">
        <f t="shared" si="14"/>
        <v>2</v>
      </c>
      <c r="T27" s="36">
        <f t="shared" si="14"/>
        <v>2</v>
      </c>
      <c r="U27" s="36">
        <f t="shared" si="14"/>
        <v>0</v>
      </c>
      <c r="V27" s="36">
        <f t="shared" si="14"/>
        <v>1</v>
      </c>
      <c r="W27" s="36">
        <f t="shared" si="14"/>
        <v>0</v>
      </c>
      <c r="X27" s="36">
        <f t="shared" si="14"/>
        <v>1</v>
      </c>
      <c r="Y27" s="36">
        <f t="shared" si="14"/>
        <v>1</v>
      </c>
      <c r="Z27" s="36">
        <f t="shared" si="14"/>
        <v>1</v>
      </c>
      <c r="AA27" s="36">
        <f t="shared" si="14"/>
        <v>2</v>
      </c>
      <c r="AB27" s="36">
        <f t="shared" si="14"/>
        <v>1</v>
      </c>
      <c r="AC27" s="36">
        <f t="shared" si="14"/>
        <v>1</v>
      </c>
      <c r="AD27" s="36">
        <f t="shared" si="14"/>
        <v>0</v>
      </c>
      <c r="AE27" s="36">
        <f t="shared" si="14"/>
        <v>2</v>
      </c>
      <c r="AF27" s="36">
        <f t="shared" si="14"/>
        <v>1</v>
      </c>
      <c r="AG27" s="36">
        <f t="shared" si="14"/>
        <v>1</v>
      </c>
      <c r="AH27" s="36">
        <f t="shared" si="14"/>
        <v>2</v>
      </c>
      <c r="AI27" s="36">
        <f t="shared" si="14"/>
        <v>1</v>
      </c>
      <c r="AJ27" s="36">
        <f t="shared" si="14"/>
        <v>1</v>
      </c>
    </row>
    <row r="28" spans="1:36" ht="18.75" x14ac:dyDescent="0.3">
      <c r="A28" s="105"/>
      <c r="B28" s="59" t="s">
        <v>70</v>
      </c>
      <c r="C28" s="60" t="s">
        <v>71</v>
      </c>
      <c r="D28" s="35"/>
      <c r="E28" s="35"/>
      <c r="F28" s="36">
        <f t="shared" ref="F28:AJ28" si="15">COUNTIF(F5:F12,"UL")</f>
        <v>0</v>
      </c>
      <c r="G28" s="36">
        <f t="shared" si="15"/>
        <v>0</v>
      </c>
      <c r="H28" s="36">
        <f t="shared" si="15"/>
        <v>0</v>
      </c>
      <c r="I28" s="36">
        <f t="shared" si="15"/>
        <v>0</v>
      </c>
      <c r="J28" s="36">
        <f t="shared" si="15"/>
        <v>0</v>
      </c>
      <c r="K28" s="36">
        <f t="shared" si="15"/>
        <v>0</v>
      </c>
      <c r="L28" s="36">
        <f t="shared" si="15"/>
        <v>0</v>
      </c>
      <c r="M28" s="36">
        <f t="shared" si="15"/>
        <v>0</v>
      </c>
      <c r="N28" s="36">
        <f t="shared" si="15"/>
        <v>0</v>
      </c>
      <c r="O28" s="36">
        <f t="shared" si="15"/>
        <v>0</v>
      </c>
      <c r="P28" s="36">
        <f t="shared" si="15"/>
        <v>0</v>
      </c>
      <c r="Q28" s="36">
        <f t="shared" si="15"/>
        <v>0</v>
      </c>
      <c r="R28" s="36">
        <f t="shared" si="15"/>
        <v>0</v>
      </c>
      <c r="S28" s="36">
        <f t="shared" si="15"/>
        <v>0</v>
      </c>
      <c r="T28" s="36">
        <f t="shared" si="15"/>
        <v>0</v>
      </c>
      <c r="U28" s="36">
        <f t="shared" si="15"/>
        <v>0</v>
      </c>
      <c r="V28" s="36">
        <f t="shared" si="15"/>
        <v>0</v>
      </c>
      <c r="W28" s="36">
        <f t="shared" si="15"/>
        <v>0</v>
      </c>
      <c r="X28" s="36">
        <f t="shared" si="15"/>
        <v>0</v>
      </c>
      <c r="Y28" s="36">
        <f t="shared" si="15"/>
        <v>0</v>
      </c>
      <c r="Z28" s="36">
        <f t="shared" si="15"/>
        <v>0</v>
      </c>
      <c r="AA28" s="36">
        <f t="shared" si="15"/>
        <v>0</v>
      </c>
      <c r="AB28" s="36">
        <f t="shared" si="15"/>
        <v>0</v>
      </c>
      <c r="AC28" s="36">
        <f t="shared" si="15"/>
        <v>0</v>
      </c>
      <c r="AD28" s="36">
        <f t="shared" si="15"/>
        <v>0</v>
      </c>
      <c r="AE28" s="36">
        <f t="shared" si="15"/>
        <v>0</v>
      </c>
      <c r="AF28" s="36">
        <f t="shared" si="15"/>
        <v>0</v>
      </c>
      <c r="AG28" s="36">
        <f t="shared" si="15"/>
        <v>0</v>
      </c>
      <c r="AH28" s="36">
        <f t="shared" si="15"/>
        <v>0</v>
      </c>
      <c r="AI28" s="36">
        <f t="shared" si="15"/>
        <v>0</v>
      </c>
      <c r="AJ28" s="36">
        <f t="shared" si="15"/>
        <v>0</v>
      </c>
    </row>
    <row r="29" spans="1:36" ht="18.75" x14ac:dyDescent="0.3">
      <c r="A29" s="105"/>
      <c r="B29" s="38" t="s">
        <v>72</v>
      </c>
      <c r="C29" s="35" t="s">
        <v>21</v>
      </c>
      <c r="D29" s="35"/>
      <c r="E29" s="35"/>
      <c r="F29" s="36">
        <f t="shared" ref="F29:AJ29" si="16">COUNTIF(F4:F11,"AL")</f>
        <v>0</v>
      </c>
      <c r="G29" s="36">
        <f t="shared" si="16"/>
        <v>0</v>
      </c>
      <c r="H29" s="36">
        <f t="shared" si="16"/>
        <v>0</v>
      </c>
      <c r="I29" s="36">
        <f t="shared" si="16"/>
        <v>0</v>
      </c>
      <c r="J29" s="36">
        <f t="shared" si="16"/>
        <v>0</v>
      </c>
      <c r="K29" s="36">
        <f t="shared" si="16"/>
        <v>0</v>
      </c>
      <c r="L29" s="36">
        <f t="shared" si="16"/>
        <v>0</v>
      </c>
      <c r="M29" s="36">
        <f t="shared" si="16"/>
        <v>1</v>
      </c>
      <c r="N29" s="36">
        <f t="shared" si="16"/>
        <v>0</v>
      </c>
      <c r="O29" s="36">
        <f t="shared" si="16"/>
        <v>0</v>
      </c>
      <c r="P29" s="36">
        <f t="shared" si="16"/>
        <v>0</v>
      </c>
      <c r="Q29" s="36">
        <f t="shared" si="16"/>
        <v>0</v>
      </c>
      <c r="R29" s="36">
        <f t="shared" si="16"/>
        <v>0</v>
      </c>
      <c r="S29" s="36">
        <f t="shared" si="16"/>
        <v>0</v>
      </c>
      <c r="T29" s="36">
        <f t="shared" si="16"/>
        <v>0</v>
      </c>
      <c r="U29" s="36">
        <f t="shared" si="16"/>
        <v>1</v>
      </c>
      <c r="V29" s="36">
        <f t="shared" si="16"/>
        <v>1</v>
      </c>
      <c r="W29" s="36">
        <f t="shared" si="16"/>
        <v>0</v>
      </c>
      <c r="X29" s="36">
        <f t="shared" si="16"/>
        <v>0</v>
      </c>
      <c r="Y29" s="36">
        <f t="shared" si="16"/>
        <v>0</v>
      </c>
      <c r="Z29" s="36">
        <f t="shared" si="16"/>
        <v>0</v>
      </c>
      <c r="AA29" s="36">
        <f t="shared" si="16"/>
        <v>0</v>
      </c>
      <c r="AB29" s="36">
        <f t="shared" si="16"/>
        <v>0</v>
      </c>
      <c r="AC29" s="36">
        <f t="shared" si="16"/>
        <v>0</v>
      </c>
      <c r="AD29" s="36">
        <f t="shared" si="16"/>
        <v>0</v>
      </c>
      <c r="AE29" s="36">
        <f t="shared" si="16"/>
        <v>0</v>
      </c>
      <c r="AF29" s="36">
        <f t="shared" si="16"/>
        <v>0</v>
      </c>
      <c r="AG29" s="36">
        <f t="shared" si="16"/>
        <v>0</v>
      </c>
      <c r="AH29" s="36">
        <f t="shared" si="16"/>
        <v>0</v>
      </c>
      <c r="AI29" s="36">
        <f t="shared" si="16"/>
        <v>0</v>
      </c>
      <c r="AJ29" s="36">
        <f t="shared" si="16"/>
        <v>0</v>
      </c>
    </row>
    <row r="30" spans="1:36" ht="18.75" x14ac:dyDescent="0.3">
      <c r="A30" s="105"/>
      <c r="B30" s="38" t="s">
        <v>73</v>
      </c>
      <c r="C30" s="35" t="s">
        <v>74</v>
      </c>
      <c r="D30" s="35"/>
      <c r="E30" s="35"/>
      <c r="F30" s="36">
        <f t="shared" ref="F30:AJ30" si="17">COUNTIF(F4:F10,"PH")</f>
        <v>0</v>
      </c>
      <c r="G30" s="36">
        <f t="shared" si="17"/>
        <v>0</v>
      </c>
      <c r="H30" s="36">
        <f t="shared" si="17"/>
        <v>0</v>
      </c>
      <c r="I30" s="36">
        <f t="shared" si="17"/>
        <v>0</v>
      </c>
      <c r="J30" s="36">
        <f t="shared" si="17"/>
        <v>0</v>
      </c>
      <c r="K30" s="36">
        <f t="shared" si="17"/>
        <v>0</v>
      </c>
      <c r="L30" s="36">
        <f t="shared" si="17"/>
        <v>0</v>
      </c>
      <c r="M30" s="36">
        <f t="shared" si="17"/>
        <v>0</v>
      </c>
      <c r="N30" s="36">
        <f t="shared" si="17"/>
        <v>0</v>
      </c>
      <c r="O30" s="36">
        <f t="shared" si="17"/>
        <v>0</v>
      </c>
      <c r="P30" s="36">
        <f t="shared" si="17"/>
        <v>0</v>
      </c>
      <c r="Q30" s="36">
        <f t="shared" si="17"/>
        <v>0</v>
      </c>
      <c r="R30" s="36">
        <f t="shared" si="17"/>
        <v>0</v>
      </c>
      <c r="S30" s="36">
        <f t="shared" si="17"/>
        <v>0</v>
      </c>
      <c r="T30" s="36">
        <f t="shared" si="17"/>
        <v>0</v>
      </c>
      <c r="U30" s="36">
        <f t="shared" si="17"/>
        <v>0</v>
      </c>
      <c r="V30" s="36">
        <f t="shared" si="17"/>
        <v>0</v>
      </c>
      <c r="W30" s="36">
        <f t="shared" si="17"/>
        <v>0</v>
      </c>
      <c r="X30" s="36">
        <f t="shared" si="17"/>
        <v>0</v>
      </c>
      <c r="Y30" s="36">
        <f t="shared" si="17"/>
        <v>0</v>
      </c>
      <c r="Z30" s="36">
        <f t="shared" si="17"/>
        <v>0</v>
      </c>
      <c r="AA30" s="36">
        <f t="shared" si="17"/>
        <v>0</v>
      </c>
      <c r="AB30" s="36">
        <f t="shared" si="17"/>
        <v>0</v>
      </c>
      <c r="AC30" s="36">
        <f t="shared" si="17"/>
        <v>0</v>
      </c>
      <c r="AD30" s="36">
        <f t="shared" si="17"/>
        <v>0</v>
      </c>
      <c r="AE30" s="36">
        <f t="shared" si="17"/>
        <v>0</v>
      </c>
      <c r="AF30" s="36">
        <f t="shared" si="17"/>
        <v>0</v>
      </c>
      <c r="AG30" s="36">
        <f t="shared" si="17"/>
        <v>0</v>
      </c>
      <c r="AH30" s="36">
        <f t="shared" si="17"/>
        <v>0</v>
      </c>
      <c r="AI30" s="36">
        <f t="shared" si="17"/>
        <v>0</v>
      </c>
      <c r="AJ30" s="36">
        <f t="shared" si="17"/>
        <v>0</v>
      </c>
    </row>
  </sheetData>
  <mergeCells count="2">
    <mergeCell ref="A1:B1"/>
    <mergeCell ref="A13:A30"/>
  </mergeCells>
  <phoneticPr fontId="20" type="noConversion"/>
  <conditionalFormatting sqref="F4:I8">
    <cfRule type="containsText" dxfId="9" priority="82" operator="containsText" text="OFF">
      <formula>NOT(ISERROR(SEARCH("OFF",F4)))</formula>
    </cfRule>
  </conditionalFormatting>
  <conditionalFormatting sqref="F9:N10">
    <cfRule type="containsText" dxfId="8" priority="71" operator="containsText" text="OFF">
      <formula>NOT(ISERROR(SEARCH("OFF",F9)))</formula>
    </cfRule>
  </conditionalFormatting>
  <conditionalFormatting sqref="F11:AB11 AD11:AE11 F12:AE12">
    <cfRule type="containsText" dxfId="7" priority="93" operator="containsText" text="OFF">
      <formula>NOT(ISERROR(SEARCH("OFF",F11)))</formula>
    </cfRule>
  </conditionalFormatting>
  <conditionalFormatting sqref="J8:N8">
    <cfRule type="containsText" dxfId="6" priority="50" operator="containsText" text="OFF">
      <formula>NOT(ISERROR(SEARCH("OFF",J8)))</formula>
    </cfRule>
  </conditionalFormatting>
  <conditionalFormatting sqref="J4:P7">
    <cfRule type="containsText" dxfId="5" priority="46" operator="containsText" text="OFF">
      <formula>NOT(ISERROR(SEARCH("OFF",J4)))</formula>
    </cfRule>
  </conditionalFormatting>
  <conditionalFormatting sqref="O8:P10">
    <cfRule type="containsText" dxfId="4" priority="49" operator="containsText" text="OFF">
      <formula>NOT(ISERROR(SEARCH("OFF",O8)))</formula>
    </cfRule>
  </conditionalFormatting>
  <conditionalFormatting sqref="Q4:AJ10">
    <cfRule type="containsText" dxfId="3" priority="1" operator="containsText" text="OFF">
      <formula>NOT(ISERROR(SEARCH("OFF",Q4)))</formula>
    </cfRule>
  </conditionalFormatting>
  <pageMargins left="0.7" right="0.7" top="0.75" bottom="0.75" header="0.3" footer="0.3"/>
  <pageSetup paperSize="0" orientation="portrait" horizontalDpi="180" verticalDpi="180" copies="2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7D78-3D8D-4F57-81C2-834977BAB1A7}">
  <dimension ref="A1:AJ36"/>
  <sheetViews>
    <sheetView zoomScale="85" zoomScaleNormal="85" workbookViewId="0">
      <selection activeCell="A13" sqref="A12:AG14"/>
    </sheetView>
  </sheetViews>
  <sheetFormatPr defaultRowHeight="14.25" x14ac:dyDescent="0.2"/>
  <cols>
    <col min="1" max="1" width="6.875" customWidth="1"/>
    <col min="2" max="2" width="22" customWidth="1"/>
    <col min="3" max="3" width="5.5" customWidth="1"/>
    <col min="4" max="4" width="10.875" customWidth="1"/>
    <col min="5" max="5" width="13.875" customWidth="1"/>
    <col min="6" max="14" width="5.125" customWidth="1"/>
    <col min="15" max="20" width="6" customWidth="1"/>
    <col min="21" max="21" width="6.625" customWidth="1"/>
    <col min="22" max="22" width="7.25" customWidth="1"/>
    <col min="23" max="23" width="8.375" customWidth="1"/>
    <col min="24" max="24" width="6.875" customWidth="1"/>
    <col min="25" max="27" width="6" customWidth="1"/>
    <col min="28" max="28" width="6" bestFit="1" customWidth="1"/>
    <col min="29" max="29" width="10.25" customWidth="1"/>
    <col min="30" max="30" width="6" bestFit="1" customWidth="1"/>
    <col min="31" max="31" width="10" customWidth="1"/>
    <col min="32" max="32" width="6" bestFit="1" customWidth="1"/>
    <col min="33" max="33" width="10.25" customWidth="1"/>
    <col min="34" max="34" width="11.5" customWidth="1"/>
  </cols>
  <sheetData>
    <row r="1" spans="1:36" ht="22.5" x14ac:dyDescent="0.2">
      <c r="A1" s="108" t="s">
        <v>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</row>
    <row r="3" spans="1:36" ht="18.75" x14ac:dyDescent="0.2">
      <c r="A3" s="17">
        <v>1207</v>
      </c>
      <c r="B3" s="18"/>
      <c r="C3" s="19"/>
      <c r="D3" s="45"/>
      <c r="E3" s="19"/>
      <c r="F3" s="20" t="s">
        <v>5</v>
      </c>
      <c r="G3" s="20" t="s">
        <v>6</v>
      </c>
      <c r="H3" s="20" t="s">
        <v>7</v>
      </c>
      <c r="I3" s="20" t="s">
        <v>8</v>
      </c>
      <c r="J3" s="69" t="s">
        <v>2</v>
      </c>
      <c r="K3" s="72" t="s">
        <v>3</v>
      </c>
      <c r="L3" s="72" t="s">
        <v>4</v>
      </c>
      <c r="M3" s="72" t="s">
        <v>5</v>
      </c>
      <c r="N3" s="72" t="s">
        <v>6</v>
      </c>
      <c r="O3" s="72" t="s">
        <v>7</v>
      </c>
      <c r="P3" s="72" t="s">
        <v>8</v>
      </c>
      <c r="Q3" s="72" t="s">
        <v>2</v>
      </c>
      <c r="R3" s="72" t="s">
        <v>3</v>
      </c>
      <c r="S3" s="72" t="s">
        <v>4</v>
      </c>
      <c r="T3" s="72" t="s">
        <v>5</v>
      </c>
      <c r="U3" s="76" t="s">
        <v>6</v>
      </c>
      <c r="V3" s="74" t="s">
        <v>7</v>
      </c>
      <c r="W3" s="79" t="s">
        <v>8</v>
      </c>
      <c r="X3" s="20" t="s">
        <v>2</v>
      </c>
      <c r="Y3" s="20" t="s">
        <v>3</v>
      </c>
      <c r="Z3" s="20" t="s">
        <v>4</v>
      </c>
      <c r="AA3" s="20" t="s">
        <v>5</v>
      </c>
      <c r="AB3" s="20" t="s">
        <v>6</v>
      </c>
      <c r="AC3" s="20" t="s">
        <v>7</v>
      </c>
      <c r="AD3" s="20" t="s">
        <v>8</v>
      </c>
      <c r="AE3" s="20" t="s">
        <v>2</v>
      </c>
      <c r="AF3" s="20" t="s">
        <v>3</v>
      </c>
      <c r="AG3" s="20" t="s">
        <v>4</v>
      </c>
      <c r="AH3" s="20" t="s">
        <v>5</v>
      </c>
    </row>
    <row r="4" spans="1:36" x14ac:dyDescent="0.2">
      <c r="A4" s="21" t="s">
        <v>9</v>
      </c>
      <c r="B4" s="22" t="s">
        <v>10</v>
      </c>
      <c r="C4" s="44" t="s">
        <v>11</v>
      </c>
      <c r="D4" s="46" t="s">
        <v>12</v>
      </c>
      <c r="E4" s="42" t="s">
        <v>13</v>
      </c>
      <c r="F4" s="23">
        <v>46054</v>
      </c>
      <c r="G4" s="23">
        <v>46055</v>
      </c>
      <c r="H4" s="23">
        <v>46056</v>
      </c>
      <c r="I4" s="23">
        <v>46057</v>
      </c>
      <c r="J4" s="23">
        <v>46058</v>
      </c>
      <c r="K4" s="23">
        <v>46059</v>
      </c>
      <c r="L4" s="23">
        <v>46060</v>
      </c>
      <c r="M4" s="23">
        <v>46061</v>
      </c>
      <c r="N4" s="23">
        <v>46062</v>
      </c>
      <c r="O4" s="23">
        <v>46063</v>
      </c>
      <c r="P4" s="23">
        <v>46064</v>
      </c>
      <c r="Q4" s="23">
        <v>46065</v>
      </c>
      <c r="R4" s="23">
        <v>46066</v>
      </c>
      <c r="S4" s="23">
        <v>46067</v>
      </c>
      <c r="T4" s="23">
        <v>46068</v>
      </c>
      <c r="U4" s="77">
        <v>46069</v>
      </c>
      <c r="V4" s="75">
        <v>46070</v>
      </c>
      <c r="W4" s="80">
        <v>46071</v>
      </c>
      <c r="X4" s="23">
        <v>46072</v>
      </c>
      <c r="Y4" s="23">
        <v>46073</v>
      </c>
      <c r="Z4" s="23">
        <v>46074</v>
      </c>
      <c r="AA4" s="23">
        <v>46075</v>
      </c>
      <c r="AB4" s="23">
        <v>46076</v>
      </c>
      <c r="AC4" s="23">
        <v>46077</v>
      </c>
      <c r="AD4" s="23">
        <v>46078</v>
      </c>
      <c r="AE4" s="23">
        <v>46079</v>
      </c>
      <c r="AF4" s="23">
        <v>46080</v>
      </c>
      <c r="AG4" s="23">
        <v>46081</v>
      </c>
      <c r="AH4" s="23">
        <v>46082</v>
      </c>
    </row>
    <row r="5" spans="1:36" x14ac:dyDescent="0.2">
      <c r="A5" s="24">
        <v>1</v>
      </c>
      <c r="B5" s="25" t="s">
        <v>43</v>
      </c>
      <c r="C5" s="24" t="s">
        <v>75</v>
      </c>
      <c r="D5" s="24" t="s">
        <v>45</v>
      </c>
      <c r="E5" s="86">
        <v>938649420</v>
      </c>
      <c r="F5" s="58" t="s">
        <v>18</v>
      </c>
      <c r="G5" s="40" t="s">
        <v>18</v>
      </c>
      <c r="H5" s="40" t="s">
        <v>19</v>
      </c>
      <c r="I5" s="40" t="s">
        <v>0</v>
      </c>
      <c r="J5" s="70" t="s">
        <v>19</v>
      </c>
      <c r="K5" s="73" t="s">
        <v>76</v>
      </c>
      <c r="L5" s="73" t="s">
        <v>77</v>
      </c>
      <c r="M5" s="73" t="s">
        <v>76</v>
      </c>
      <c r="N5" s="40" t="s">
        <v>76</v>
      </c>
      <c r="O5" s="40" t="s">
        <v>0</v>
      </c>
      <c r="P5" s="40" t="s">
        <v>76</v>
      </c>
      <c r="Q5" s="40" t="s">
        <v>76</v>
      </c>
      <c r="R5" s="40" t="s">
        <v>76</v>
      </c>
      <c r="S5" s="63" t="s">
        <v>78</v>
      </c>
      <c r="T5" s="63" t="s">
        <v>78</v>
      </c>
      <c r="U5" s="78" t="s">
        <v>19</v>
      </c>
      <c r="V5" s="73" t="s">
        <v>74</v>
      </c>
      <c r="W5" s="61" t="s">
        <v>19</v>
      </c>
      <c r="X5" s="40" t="s">
        <v>18</v>
      </c>
      <c r="Y5" s="40" t="s">
        <v>18</v>
      </c>
      <c r="Z5" s="63" t="s">
        <v>19</v>
      </c>
      <c r="AA5" s="63" t="s">
        <v>18</v>
      </c>
      <c r="AB5" s="40" t="s">
        <v>18</v>
      </c>
      <c r="AC5" s="40" t="s">
        <v>19</v>
      </c>
      <c r="AD5" s="40" t="s">
        <v>0</v>
      </c>
      <c r="AE5" s="40" t="s">
        <v>19</v>
      </c>
      <c r="AF5" s="40" t="s">
        <v>19</v>
      </c>
      <c r="AG5" s="63" t="s">
        <v>18</v>
      </c>
      <c r="AH5" s="63" t="s">
        <v>90</v>
      </c>
    </row>
    <row r="6" spans="1:36" ht="13.5" customHeight="1" x14ac:dyDescent="0.2">
      <c r="A6" s="24">
        <v>2</v>
      </c>
      <c r="B6" s="27" t="s">
        <v>23</v>
      </c>
      <c r="C6" s="28" t="s">
        <v>24</v>
      </c>
      <c r="D6" s="28" t="s">
        <v>25</v>
      </c>
      <c r="E6" s="86">
        <v>354530372</v>
      </c>
      <c r="F6" s="58" t="s">
        <v>19</v>
      </c>
      <c r="G6" s="26" t="s">
        <v>19</v>
      </c>
      <c r="H6" s="61" t="s">
        <v>21</v>
      </c>
      <c r="I6" s="26" t="s">
        <v>18</v>
      </c>
      <c r="J6" s="71" t="s">
        <v>18</v>
      </c>
      <c r="K6" s="26" t="s">
        <v>0</v>
      </c>
      <c r="L6" s="61" t="s">
        <v>21</v>
      </c>
      <c r="M6" s="73" t="s">
        <v>78</v>
      </c>
      <c r="N6" s="40" t="s">
        <v>78</v>
      </c>
      <c r="O6" s="40" t="s">
        <v>76</v>
      </c>
      <c r="P6" s="40" t="s">
        <v>78</v>
      </c>
      <c r="Q6" s="40" t="s">
        <v>78</v>
      </c>
      <c r="R6" s="40" t="s">
        <v>0</v>
      </c>
      <c r="S6" s="63" t="s">
        <v>77</v>
      </c>
      <c r="T6" s="61" t="s">
        <v>21</v>
      </c>
      <c r="U6" s="78" t="s">
        <v>0</v>
      </c>
      <c r="V6" s="73" t="s">
        <v>74</v>
      </c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</row>
    <row r="7" spans="1:36" x14ac:dyDescent="0.2">
      <c r="A7" s="24">
        <v>3</v>
      </c>
      <c r="B7" s="27" t="s">
        <v>79</v>
      </c>
      <c r="C7" s="68" t="s">
        <v>24</v>
      </c>
      <c r="D7" s="68" t="s">
        <v>80</v>
      </c>
      <c r="E7" s="87">
        <v>913108062</v>
      </c>
      <c r="F7" s="65"/>
      <c r="G7" s="65"/>
      <c r="H7" s="40" t="s">
        <v>18</v>
      </c>
      <c r="I7" s="40" t="s">
        <v>19</v>
      </c>
      <c r="J7" s="70" t="s">
        <v>19</v>
      </c>
      <c r="K7" s="73" t="s">
        <v>78</v>
      </c>
      <c r="L7" s="73" t="s">
        <v>76</v>
      </c>
      <c r="M7" s="73" t="s">
        <v>78</v>
      </c>
      <c r="N7" s="40" t="s">
        <v>77</v>
      </c>
      <c r="O7" s="40" t="s">
        <v>78</v>
      </c>
      <c r="P7" s="40" t="s">
        <v>0</v>
      </c>
      <c r="Q7" s="40" t="s">
        <v>76</v>
      </c>
      <c r="R7" s="40" t="s">
        <v>78</v>
      </c>
      <c r="S7" s="63" t="s">
        <v>76</v>
      </c>
      <c r="T7" s="63" t="s">
        <v>76</v>
      </c>
      <c r="U7" s="78" t="s">
        <v>0</v>
      </c>
      <c r="V7" s="73" t="s">
        <v>74</v>
      </c>
      <c r="W7" s="61" t="s">
        <v>18</v>
      </c>
      <c r="X7" s="40" t="s">
        <v>19</v>
      </c>
      <c r="Y7" s="40" t="s">
        <v>19</v>
      </c>
      <c r="Z7" s="40" t="s">
        <v>0</v>
      </c>
      <c r="AA7" s="40" t="s">
        <v>19</v>
      </c>
      <c r="AB7" s="40" t="s">
        <v>19</v>
      </c>
      <c r="AC7" s="40" t="s">
        <v>18</v>
      </c>
      <c r="AD7" s="40" t="s">
        <v>19</v>
      </c>
      <c r="AE7" s="40" t="s">
        <v>0</v>
      </c>
      <c r="AF7" s="40" t="s">
        <v>18</v>
      </c>
      <c r="AG7" s="40" t="s">
        <v>19</v>
      </c>
      <c r="AH7" s="40" t="s">
        <v>18</v>
      </c>
    </row>
    <row r="8" spans="1:36" x14ac:dyDescent="0.2">
      <c r="A8" s="24">
        <v>4</v>
      </c>
      <c r="B8" s="27" t="s">
        <v>81</v>
      </c>
      <c r="C8" s="68" t="s">
        <v>24</v>
      </c>
      <c r="D8" s="68"/>
      <c r="E8" s="87">
        <v>918822162</v>
      </c>
      <c r="F8" s="83"/>
      <c r="G8" s="83"/>
      <c r="H8" s="83"/>
      <c r="I8" s="83"/>
      <c r="J8" s="84"/>
      <c r="K8" s="83"/>
      <c r="L8" s="83"/>
      <c r="M8" s="83"/>
      <c r="N8" s="83"/>
      <c r="O8" s="83"/>
      <c r="P8" s="83"/>
      <c r="Q8" s="83"/>
      <c r="R8" s="83"/>
      <c r="S8" s="83"/>
      <c r="T8" s="83"/>
      <c r="U8" s="85"/>
      <c r="V8" s="83"/>
      <c r="W8" s="83"/>
      <c r="X8" s="83"/>
      <c r="Y8" s="83"/>
      <c r="Z8" s="83"/>
      <c r="AA8" s="83"/>
      <c r="AB8" s="40" t="s">
        <v>18</v>
      </c>
      <c r="AC8" s="40" t="s">
        <v>19</v>
      </c>
      <c r="AD8" s="65" t="s">
        <v>18</v>
      </c>
      <c r="AE8" s="65" t="s">
        <v>19</v>
      </c>
      <c r="AF8" s="65"/>
      <c r="AG8" s="65" t="s">
        <v>18</v>
      </c>
      <c r="AH8" s="65" t="s">
        <v>19</v>
      </c>
    </row>
    <row r="9" spans="1:36" x14ac:dyDescent="0.2">
      <c r="A9" s="24">
        <v>5</v>
      </c>
      <c r="B9" s="27" t="s">
        <v>38</v>
      </c>
      <c r="C9" s="28" t="s">
        <v>31</v>
      </c>
      <c r="D9" s="28" t="s">
        <v>39</v>
      </c>
      <c r="E9" s="86">
        <v>853398005</v>
      </c>
      <c r="F9" s="58" t="s">
        <v>0</v>
      </c>
      <c r="G9" s="40" t="s">
        <v>35</v>
      </c>
      <c r="H9" s="40" t="s">
        <v>0</v>
      </c>
      <c r="I9" s="40" t="s">
        <v>35</v>
      </c>
      <c r="J9" s="70" t="s">
        <v>0</v>
      </c>
      <c r="K9" s="40" t="s">
        <v>0</v>
      </c>
      <c r="L9" s="73" t="s">
        <v>82</v>
      </c>
      <c r="M9" s="73" t="s">
        <v>42</v>
      </c>
      <c r="N9" s="40" t="s">
        <v>41</v>
      </c>
      <c r="O9" s="40" t="s">
        <v>0</v>
      </c>
      <c r="P9" s="40" t="s">
        <v>0</v>
      </c>
      <c r="Q9" s="40" t="s">
        <v>0</v>
      </c>
      <c r="R9" s="40" t="s">
        <v>0</v>
      </c>
      <c r="S9" s="40" t="s">
        <v>0</v>
      </c>
      <c r="T9" s="40" t="s">
        <v>0</v>
      </c>
      <c r="U9" s="78" t="s">
        <v>0</v>
      </c>
      <c r="V9" s="73" t="s">
        <v>74</v>
      </c>
      <c r="W9" s="61" t="s">
        <v>0</v>
      </c>
      <c r="X9" s="40" t="s">
        <v>0</v>
      </c>
      <c r="Y9" s="40" t="s">
        <v>0</v>
      </c>
      <c r="Z9" s="40" t="s">
        <v>0</v>
      </c>
      <c r="AA9" s="40" t="s">
        <v>0</v>
      </c>
      <c r="AB9" s="40" t="s">
        <v>0</v>
      </c>
      <c r="AC9" s="40" t="s">
        <v>0</v>
      </c>
      <c r="AD9" s="40" t="s">
        <v>0</v>
      </c>
      <c r="AE9" s="40" t="s">
        <v>0</v>
      </c>
      <c r="AF9" s="40" t="s">
        <v>0</v>
      </c>
      <c r="AG9" s="40" t="s">
        <v>0</v>
      </c>
      <c r="AH9" s="40" t="s">
        <v>0</v>
      </c>
    </row>
    <row r="10" spans="1:36" x14ac:dyDescent="0.2">
      <c r="A10" s="24">
        <v>6</v>
      </c>
      <c r="B10" s="27" t="s">
        <v>48</v>
      </c>
      <c r="C10" s="28" t="s">
        <v>31</v>
      </c>
      <c r="D10" s="28" t="s">
        <v>83</v>
      </c>
      <c r="E10" s="86">
        <v>823777977</v>
      </c>
      <c r="F10" s="58" t="s">
        <v>35</v>
      </c>
      <c r="G10" s="40" t="s">
        <v>36</v>
      </c>
      <c r="H10" s="40" t="s">
        <v>35</v>
      </c>
      <c r="I10" s="40" t="s">
        <v>0</v>
      </c>
      <c r="J10" s="70" t="s">
        <v>35</v>
      </c>
      <c r="K10" s="73" t="s">
        <v>35</v>
      </c>
      <c r="L10" s="73" t="s">
        <v>37</v>
      </c>
      <c r="M10" s="73" t="s">
        <v>35</v>
      </c>
      <c r="N10" s="40" t="s">
        <v>34</v>
      </c>
      <c r="O10" s="40" t="s">
        <v>0</v>
      </c>
      <c r="P10" s="40" t="s">
        <v>47</v>
      </c>
      <c r="Q10" s="40" t="s">
        <v>37</v>
      </c>
      <c r="R10" s="40" t="s">
        <v>36</v>
      </c>
      <c r="S10" s="63" t="s">
        <v>36</v>
      </c>
      <c r="T10" s="63" t="s">
        <v>47</v>
      </c>
      <c r="U10" s="78" t="s">
        <v>34</v>
      </c>
      <c r="V10" s="73" t="s">
        <v>74</v>
      </c>
      <c r="W10" s="61" t="s">
        <v>37</v>
      </c>
      <c r="X10" s="40" t="s">
        <v>36</v>
      </c>
      <c r="Y10" s="40" t="s">
        <v>36</v>
      </c>
      <c r="Z10" s="63" t="s">
        <v>35</v>
      </c>
      <c r="AA10" s="63" t="s">
        <v>35</v>
      </c>
      <c r="AB10" s="40" t="s">
        <v>0</v>
      </c>
      <c r="AC10" s="40" t="s">
        <v>34</v>
      </c>
      <c r="AD10" s="40" t="s">
        <v>49</v>
      </c>
      <c r="AE10" s="40" t="s">
        <v>34</v>
      </c>
      <c r="AF10" s="40" t="s">
        <v>34</v>
      </c>
      <c r="AG10" s="63" t="s">
        <v>34</v>
      </c>
      <c r="AH10" s="63" t="s">
        <v>34</v>
      </c>
      <c r="AJ10" t="s">
        <v>84</v>
      </c>
    </row>
    <row r="11" spans="1:36" ht="13.5" customHeight="1" x14ac:dyDescent="0.2">
      <c r="A11" s="24">
        <v>7</v>
      </c>
      <c r="B11" s="27" t="s">
        <v>85</v>
      </c>
      <c r="C11" s="28" t="s">
        <v>31</v>
      </c>
      <c r="D11" s="68" t="s">
        <v>86</v>
      </c>
      <c r="E11" s="86">
        <v>347690368</v>
      </c>
      <c r="F11" s="58"/>
      <c r="G11" s="40" t="s">
        <v>35</v>
      </c>
      <c r="H11" s="40" t="s">
        <v>66</v>
      </c>
      <c r="I11" s="40" t="s">
        <v>0</v>
      </c>
      <c r="J11" s="40" t="s">
        <v>35</v>
      </c>
      <c r="K11" s="40" t="s">
        <v>66</v>
      </c>
      <c r="L11" s="40" t="s">
        <v>49</v>
      </c>
      <c r="M11" s="58" t="s">
        <v>34</v>
      </c>
      <c r="N11" s="40" t="s">
        <v>47</v>
      </c>
      <c r="O11" s="40" t="s">
        <v>47</v>
      </c>
      <c r="P11" s="40" t="s">
        <v>0</v>
      </c>
      <c r="Q11" s="40" t="s">
        <v>47</v>
      </c>
      <c r="R11" s="40" t="s">
        <v>47</v>
      </c>
      <c r="S11" s="63" t="s">
        <v>34</v>
      </c>
      <c r="T11" s="63" t="s">
        <v>34</v>
      </c>
      <c r="U11" s="78" t="s">
        <v>0</v>
      </c>
      <c r="V11" s="73" t="s">
        <v>74</v>
      </c>
      <c r="W11" s="61" t="s">
        <v>0</v>
      </c>
      <c r="X11" s="40" t="s">
        <v>0</v>
      </c>
      <c r="Y11" s="40" t="s">
        <v>47</v>
      </c>
      <c r="Z11" s="63" t="s">
        <v>87</v>
      </c>
      <c r="AA11" s="63" t="s">
        <v>34</v>
      </c>
      <c r="AB11" s="40" t="s">
        <v>35</v>
      </c>
      <c r="AC11" s="26" t="s">
        <v>47</v>
      </c>
      <c r="AD11" s="40" t="s">
        <v>35</v>
      </c>
      <c r="AE11" s="26" t="s">
        <v>47</v>
      </c>
      <c r="AF11" s="40" t="s">
        <v>0</v>
      </c>
      <c r="AG11" s="63" t="s">
        <v>47</v>
      </c>
      <c r="AH11" s="63" t="s">
        <v>47</v>
      </c>
    </row>
    <row r="12" spans="1:36" x14ac:dyDescent="0.2">
      <c r="A12" s="24"/>
      <c r="B12" s="27"/>
      <c r="C12" s="39"/>
      <c r="D12" s="24"/>
      <c r="E12" s="43"/>
      <c r="F12" s="58"/>
      <c r="G12" s="40"/>
      <c r="H12" s="40"/>
      <c r="I12" s="40"/>
      <c r="J12" s="70"/>
      <c r="K12" s="40"/>
      <c r="L12" s="63"/>
      <c r="M12" s="63"/>
      <c r="N12" s="40"/>
      <c r="O12" s="40"/>
      <c r="P12" s="40"/>
      <c r="Q12" s="40"/>
      <c r="R12" s="40"/>
      <c r="S12" s="63"/>
      <c r="T12" s="63"/>
      <c r="U12" s="78"/>
      <c r="V12" s="73"/>
      <c r="W12" s="61"/>
      <c r="X12" s="40"/>
      <c r="Y12" s="40"/>
      <c r="Z12" s="63"/>
      <c r="AA12" s="63"/>
      <c r="AB12" s="40"/>
      <c r="AC12" s="40"/>
      <c r="AD12" s="40"/>
      <c r="AE12" s="40"/>
      <c r="AF12" s="40"/>
      <c r="AG12" s="63"/>
      <c r="AH12" s="63"/>
    </row>
    <row r="13" spans="1:36" s="48" customFormat="1" ht="15" customHeight="1" x14ac:dyDescent="0.2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</row>
    <row r="14" spans="1:36" s="48" customFormat="1" ht="15" customHeight="1" x14ac:dyDescent="0.2">
      <c r="A14" s="107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</row>
    <row r="15" spans="1:36" ht="18.75" customHeight="1" x14ac:dyDescent="0.3">
      <c r="A15" s="104" t="s">
        <v>51</v>
      </c>
      <c r="B15" s="34" t="s">
        <v>52</v>
      </c>
      <c r="C15" s="35" t="s">
        <v>19</v>
      </c>
      <c r="D15" s="35"/>
      <c r="E15" s="35"/>
      <c r="F15" s="36">
        <f t="shared" ref="F15:AH15" si="0">COUNTIF(F5:F12,"A")</f>
        <v>1</v>
      </c>
      <c r="G15" s="36">
        <f t="shared" si="0"/>
        <v>1</v>
      </c>
      <c r="H15" s="36">
        <f t="shared" si="0"/>
        <v>1</v>
      </c>
      <c r="I15" s="36">
        <f t="shared" si="0"/>
        <v>1</v>
      </c>
      <c r="J15" s="36">
        <f t="shared" si="0"/>
        <v>2</v>
      </c>
      <c r="K15" s="36">
        <f t="shared" si="0"/>
        <v>0</v>
      </c>
      <c r="L15" s="36">
        <f t="shared" si="0"/>
        <v>0</v>
      </c>
      <c r="M15" s="36">
        <f t="shared" si="0"/>
        <v>0</v>
      </c>
      <c r="N15" s="36">
        <f t="shared" si="0"/>
        <v>0</v>
      </c>
      <c r="O15" s="36">
        <f t="shared" si="0"/>
        <v>0</v>
      </c>
      <c r="P15" s="36">
        <f t="shared" si="0"/>
        <v>0</v>
      </c>
      <c r="Q15" s="36">
        <f t="shared" si="0"/>
        <v>0</v>
      </c>
      <c r="R15" s="36">
        <f t="shared" si="0"/>
        <v>0</v>
      </c>
      <c r="S15" s="36">
        <f t="shared" si="0"/>
        <v>0</v>
      </c>
      <c r="T15" s="36">
        <f t="shared" si="0"/>
        <v>0</v>
      </c>
      <c r="U15" s="36">
        <f t="shared" si="0"/>
        <v>1</v>
      </c>
      <c r="V15" s="36">
        <f t="shared" si="0"/>
        <v>0</v>
      </c>
      <c r="W15" s="36">
        <f t="shared" si="0"/>
        <v>1</v>
      </c>
      <c r="X15" s="36">
        <f t="shared" si="0"/>
        <v>1</v>
      </c>
      <c r="Y15" s="36">
        <f t="shared" si="0"/>
        <v>1</v>
      </c>
      <c r="Z15" s="36">
        <f t="shared" si="0"/>
        <v>1</v>
      </c>
      <c r="AA15" s="36">
        <f t="shared" si="0"/>
        <v>1</v>
      </c>
      <c r="AB15" s="36">
        <f t="shared" si="0"/>
        <v>1</v>
      </c>
      <c r="AC15" s="36">
        <f t="shared" si="0"/>
        <v>2</v>
      </c>
      <c r="AD15" s="36">
        <f t="shared" si="0"/>
        <v>1</v>
      </c>
      <c r="AE15" s="36">
        <f t="shared" si="0"/>
        <v>2</v>
      </c>
      <c r="AF15" s="36">
        <f t="shared" si="0"/>
        <v>1</v>
      </c>
      <c r="AG15" s="36">
        <f t="shared" si="0"/>
        <v>1</v>
      </c>
      <c r="AH15" s="36">
        <f t="shared" si="0"/>
        <v>1</v>
      </c>
    </row>
    <row r="16" spans="1:36" ht="18.75" x14ac:dyDescent="0.3">
      <c r="A16" s="105"/>
      <c r="B16" s="37" t="s">
        <v>54</v>
      </c>
      <c r="C16" s="35" t="s">
        <v>18</v>
      </c>
      <c r="D16" s="35"/>
      <c r="E16" s="35"/>
      <c r="F16" s="36">
        <f t="shared" ref="F16:AH16" si="1">COUNTIF(F5:F12,"B")</f>
        <v>1</v>
      </c>
      <c r="G16" s="36">
        <f t="shared" si="1"/>
        <v>1</v>
      </c>
      <c r="H16" s="36">
        <f t="shared" si="1"/>
        <v>1</v>
      </c>
      <c r="I16" s="36">
        <f t="shared" si="1"/>
        <v>1</v>
      </c>
      <c r="J16" s="36">
        <f t="shared" si="1"/>
        <v>1</v>
      </c>
      <c r="K16" s="36">
        <f t="shared" si="1"/>
        <v>0</v>
      </c>
      <c r="L16" s="36">
        <f t="shared" si="1"/>
        <v>0</v>
      </c>
      <c r="M16" s="36">
        <f t="shared" si="1"/>
        <v>0</v>
      </c>
      <c r="N16" s="36">
        <f t="shared" si="1"/>
        <v>0</v>
      </c>
      <c r="O16" s="36">
        <f t="shared" si="1"/>
        <v>0</v>
      </c>
      <c r="P16" s="36">
        <f t="shared" si="1"/>
        <v>0</v>
      </c>
      <c r="Q16" s="36">
        <f t="shared" si="1"/>
        <v>0</v>
      </c>
      <c r="R16" s="36">
        <f t="shared" si="1"/>
        <v>0</v>
      </c>
      <c r="S16" s="36">
        <f t="shared" si="1"/>
        <v>0</v>
      </c>
      <c r="T16" s="36">
        <f t="shared" si="1"/>
        <v>0</v>
      </c>
      <c r="U16" s="36">
        <f t="shared" si="1"/>
        <v>0</v>
      </c>
      <c r="V16" s="36">
        <f t="shared" si="1"/>
        <v>0</v>
      </c>
      <c r="W16" s="36">
        <f t="shared" si="1"/>
        <v>1</v>
      </c>
      <c r="X16" s="36">
        <f t="shared" si="1"/>
        <v>1</v>
      </c>
      <c r="Y16" s="36">
        <f t="shared" si="1"/>
        <v>1</v>
      </c>
      <c r="Z16" s="36">
        <f t="shared" si="1"/>
        <v>0</v>
      </c>
      <c r="AA16" s="36">
        <f t="shared" si="1"/>
        <v>1</v>
      </c>
      <c r="AB16" s="36">
        <f t="shared" si="1"/>
        <v>2</v>
      </c>
      <c r="AC16" s="36">
        <f t="shared" si="1"/>
        <v>1</v>
      </c>
      <c r="AD16" s="36">
        <f t="shared" si="1"/>
        <v>1</v>
      </c>
      <c r="AE16" s="36">
        <f t="shared" si="1"/>
        <v>0</v>
      </c>
      <c r="AF16" s="36">
        <f t="shared" si="1"/>
        <v>1</v>
      </c>
      <c r="AG16" s="36">
        <f t="shared" si="1"/>
        <v>2</v>
      </c>
      <c r="AH16" s="36">
        <f t="shared" si="1"/>
        <v>1</v>
      </c>
    </row>
    <row r="17" spans="1:34" ht="18.75" x14ac:dyDescent="0.3">
      <c r="A17" s="105"/>
      <c r="B17" s="37" t="s">
        <v>55</v>
      </c>
      <c r="C17" s="35" t="s">
        <v>22</v>
      </c>
      <c r="D17" s="35"/>
      <c r="E17" s="35"/>
      <c r="F17" s="36">
        <f t="shared" ref="F17:AH17" si="2">COUNTIF(F5:F12,"C")</f>
        <v>0</v>
      </c>
      <c r="G17" s="36">
        <f t="shared" si="2"/>
        <v>0</v>
      </c>
      <c r="H17" s="36">
        <f t="shared" si="2"/>
        <v>0</v>
      </c>
      <c r="I17" s="36">
        <f t="shared" si="2"/>
        <v>0</v>
      </c>
      <c r="J17" s="36">
        <f t="shared" si="2"/>
        <v>0</v>
      </c>
      <c r="K17" s="36">
        <f t="shared" si="2"/>
        <v>0</v>
      </c>
      <c r="L17" s="36">
        <f t="shared" si="2"/>
        <v>0</v>
      </c>
      <c r="M17" s="36">
        <f t="shared" si="2"/>
        <v>0</v>
      </c>
      <c r="N17" s="36">
        <f t="shared" si="2"/>
        <v>0</v>
      </c>
      <c r="O17" s="36">
        <f t="shared" si="2"/>
        <v>0</v>
      </c>
      <c r="P17" s="36">
        <f t="shared" si="2"/>
        <v>0</v>
      </c>
      <c r="Q17" s="36">
        <f t="shared" si="2"/>
        <v>0</v>
      </c>
      <c r="R17" s="36">
        <f t="shared" si="2"/>
        <v>0</v>
      </c>
      <c r="S17" s="36">
        <f t="shared" si="2"/>
        <v>0</v>
      </c>
      <c r="T17" s="36">
        <f t="shared" si="2"/>
        <v>0</v>
      </c>
      <c r="U17" s="36">
        <f t="shared" si="2"/>
        <v>0</v>
      </c>
      <c r="V17" s="36">
        <f t="shared" si="2"/>
        <v>0</v>
      </c>
      <c r="W17" s="36">
        <f t="shared" si="2"/>
        <v>0</v>
      </c>
      <c r="X17" s="36">
        <f t="shared" si="2"/>
        <v>0</v>
      </c>
      <c r="Y17" s="36">
        <f t="shared" si="2"/>
        <v>0</v>
      </c>
      <c r="Z17" s="36">
        <f t="shared" si="2"/>
        <v>0</v>
      </c>
      <c r="AA17" s="36">
        <f t="shared" si="2"/>
        <v>0</v>
      </c>
      <c r="AB17" s="36">
        <f t="shared" si="2"/>
        <v>0</v>
      </c>
      <c r="AC17" s="36">
        <f t="shared" si="2"/>
        <v>0</v>
      </c>
      <c r="AD17" s="36">
        <f t="shared" si="2"/>
        <v>0</v>
      </c>
      <c r="AE17" s="36">
        <f t="shared" si="2"/>
        <v>0</v>
      </c>
      <c r="AF17" s="36">
        <f t="shared" si="2"/>
        <v>0</v>
      </c>
      <c r="AG17" s="36">
        <f t="shared" si="2"/>
        <v>0</v>
      </c>
      <c r="AH17" s="36">
        <f t="shared" si="2"/>
        <v>0</v>
      </c>
    </row>
    <row r="18" spans="1:34" ht="18.75" x14ac:dyDescent="0.3">
      <c r="A18" s="105"/>
      <c r="B18" s="37" t="s">
        <v>53</v>
      </c>
      <c r="C18" s="35" t="s">
        <v>34</v>
      </c>
      <c r="D18" s="35"/>
      <c r="E18" s="35"/>
      <c r="F18" s="36">
        <f t="shared" ref="F18:AH18" si="3">COUNTIF(F5:F12,"A1")</f>
        <v>0</v>
      </c>
      <c r="G18" s="36">
        <f t="shared" si="3"/>
        <v>0</v>
      </c>
      <c r="H18" s="36">
        <f t="shared" si="3"/>
        <v>0</v>
      </c>
      <c r="I18" s="36">
        <f t="shared" si="3"/>
        <v>0</v>
      </c>
      <c r="J18" s="36">
        <f t="shared" si="3"/>
        <v>0</v>
      </c>
      <c r="K18" s="36">
        <f t="shared" si="3"/>
        <v>0</v>
      </c>
      <c r="L18" s="36">
        <f t="shared" si="3"/>
        <v>0</v>
      </c>
      <c r="M18" s="36">
        <f t="shared" si="3"/>
        <v>1</v>
      </c>
      <c r="N18" s="36">
        <f t="shared" si="3"/>
        <v>1</v>
      </c>
      <c r="O18" s="36">
        <f t="shared" si="3"/>
        <v>0</v>
      </c>
      <c r="P18" s="36">
        <f t="shared" si="3"/>
        <v>0</v>
      </c>
      <c r="Q18" s="36">
        <f t="shared" si="3"/>
        <v>0</v>
      </c>
      <c r="R18" s="36">
        <f t="shared" si="3"/>
        <v>0</v>
      </c>
      <c r="S18" s="36">
        <f t="shared" si="3"/>
        <v>1</v>
      </c>
      <c r="T18" s="36">
        <f t="shared" si="3"/>
        <v>1</v>
      </c>
      <c r="U18" s="36">
        <f t="shared" si="3"/>
        <v>1</v>
      </c>
      <c r="V18" s="36">
        <f t="shared" si="3"/>
        <v>0</v>
      </c>
      <c r="W18" s="36">
        <f t="shared" si="3"/>
        <v>0</v>
      </c>
      <c r="X18" s="36">
        <f t="shared" si="3"/>
        <v>0</v>
      </c>
      <c r="Y18" s="36">
        <f t="shared" si="3"/>
        <v>0</v>
      </c>
      <c r="Z18" s="36">
        <f t="shared" si="3"/>
        <v>0</v>
      </c>
      <c r="AA18" s="36">
        <f t="shared" si="3"/>
        <v>1</v>
      </c>
      <c r="AB18" s="36">
        <f t="shared" si="3"/>
        <v>0</v>
      </c>
      <c r="AC18" s="36">
        <f t="shared" si="3"/>
        <v>1</v>
      </c>
      <c r="AD18" s="36">
        <f t="shared" si="3"/>
        <v>0</v>
      </c>
      <c r="AE18" s="36">
        <f t="shared" si="3"/>
        <v>1</v>
      </c>
      <c r="AF18" s="36">
        <f t="shared" si="3"/>
        <v>1</v>
      </c>
      <c r="AG18" s="36">
        <f t="shared" si="3"/>
        <v>1</v>
      </c>
      <c r="AH18" s="36">
        <f t="shared" si="3"/>
        <v>1</v>
      </c>
    </row>
    <row r="19" spans="1:34" ht="18.75" x14ac:dyDescent="0.3">
      <c r="A19" s="105"/>
      <c r="B19" s="37" t="s">
        <v>88</v>
      </c>
      <c r="C19" s="35" t="s">
        <v>41</v>
      </c>
      <c r="D19" s="35"/>
      <c r="E19" s="35"/>
      <c r="F19" s="36">
        <f t="shared" ref="F19:AH19" si="4">COUNTIF(F5:F12,"A2")</f>
        <v>0</v>
      </c>
      <c r="G19" s="36">
        <f t="shared" si="4"/>
        <v>0</v>
      </c>
      <c r="H19" s="36">
        <f t="shared" si="4"/>
        <v>0</v>
      </c>
      <c r="I19" s="36">
        <f t="shared" si="4"/>
        <v>0</v>
      </c>
      <c r="J19" s="36">
        <f t="shared" si="4"/>
        <v>0</v>
      </c>
      <c r="K19" s="36">
        <f t="shared" si="4"/>
        <v>0</v>
      </c>
      <c r="L19" s="36">
        <f t="shared" si="4"/>
        <v>0</v>
      </c>
      <c r="M19" s="36">
        <f t="shared" si="4"/>
        <v>0</v>
      </c>
      <c r="N19" s="36">
        <f t="shared" si="4"/>
        <v>1</v>
      </c>
      <c r="O19" s="36">
        <f t="shared" si="4"/>
        <v>0</v>
      </c>
      <c r="P19" s="36">
        <f t="shared" si="4"/>
        <v>0</v>
      </c>
      <c r="Q19" s="36">
        <f t="shared" si="4"/>
        <v>0</v>
      </c>
      <c r="R19" s="36">
        <f t="shared" si="4"/>
        <v>0</v>
      </c>
      <c r="S19" s="36">
        <f t="shared" si="4"/>
        <v>0</v>
      </c>
      <c r="T19" s="36">
        <f t="shared" si="4"/>
        <v>0</v>
      </c>
      <c r="U19" s="36">
        <f t="shared" si="4"/>
        <v>0</v>
      </c>
      <c r="V19" s="36">
        <f t="shared" si="4"/>
        <v>0</v>
      </c>
      <c r="W19" s="36">
        <f t="shared" si="4"/>
        <v>0</v>
      </c>
      <c r="X19" s="36">
        <f t="shared" si="4"/>
        <v>0</v>
      </c>
      <c r="Y19" s="36">
        <f t="shared" si="4"/>
        <v>0</v>
      </c>
      <c r="Z19" s="36">
        <f t="shared" si="4"/>
        <v>0</v>
      </c>
      <c r="AA19" s="36">
        <f t="shared" si="4"/>
        <v>0</v>
      </c>
      <c r="AB19" s="36">
        <f t="shared" si="4"/>
        <v>0</v>
      </c>
      <c r="AC19" s="36">
        <f t="shared" si="4"/>
        <v>0</v>
      </c>
      <c r="AD19" s="36">
        <f t="shared" si="4"/>
        <v>0</v>
      </c>
      <c r="AE19" s="36">
        <f t="shared" si="4"/>
        <v>0</v>
      </c>
      <c r="AF19" s="36">
        <f t="shared" si="4"/>
        <v>0</v>
      </c>
      <c r="AG19" s="36">
        <f t="shared" si="4"/>
        <v>0</v>
      </c>
      <c r="AH19" s="36">
        <f t="shared" si="4"/>
        <v>0</v>
      </c>
    </row>
    <row r="20" spans="1:34" ht="18.75" x14ac:dyDescent="0.3">
      <c r="A20" s="105"/>
      <c r="B20" s="37" t="s">
        <v>57</v>
      </c>
      <c r="C20" s="35" t="s">
        <v>37</v>
      </c>
      <c r="D20" s="35"/>
      <c r="E20" s="35"/>
      <c r="F20" s="36">
        <f t="shared" ref="F20:AH20" si="5">COUNTIF(F5:F12,"A3")</f>
        <v>0</v>
      </c>
      <c r="G20" s="36">
        <f t="shared" si="5"/>
        <v>0</v>
      </c>
      <c r="H20" s="36">
        <f t="shared" si="5"/>
        <v>0</v>
      </c>
      <c r="I20" s="36">
        <f t="shared" si="5"/>
        <v>0</v>
      </c>
      <c r="J20" s="36">
        <f t="shared" si="5"/>
        <v>0</v>
      </c>
      <c r="K20" s="36">
        <f t="shared" si="5"/>
        <v>0</v>
      </c>
      <c r="L20" s="36">
        <f t="shared" si="5"/>
        <v>1</v>
      </c>
      <c r="M20" s="36">
        <f t="shared" si="5"/>
        <v>0</v>
      </c>
      <c r="N20" s="36">
        <f t="shared" si="5"/>
        <v>0</v>
      </c>
      <c r="O20" s="36">
        <f t="shared" si="5"/>
        <v>0</v>
      </c>
      <c r="P20" s="36">
        <f t="shared" si="5"/>
        <v>0</v>
      </c>
      <c r="Q20" s="36">
        <f t="shared" si="5"/>
        <v>1</v>
      </c>
      <c r="R20" s="36">
        <f t="shared" si="5"/>
        <v>0</v>
      </c>
      <c r="S20" s="36">
        <f t="shared" si="5"/>
        <v>0</v>
      </c>
      <c r="T20" s="36">
        <f t="shared" si="5"/>
        <v>0</v>
      </c>
      <c r="U20" s="36">
        <f t="shared" si="5"/>
        <v>0</v>
      </c>
      <c r="V20" s="36">
        <f t="shared" si="5"/>
        <v>0</v>
      </c>
      <c r="W20" s="36">
        <f t="shared" si="5"/>
        <v>1</v>
      </c>
      <c r="X20" s="36">
        <f t="shared" si="5"/>
        <v>0</v>
      </c>
      <c r="Y20" s="36">
        <f t="shared" si="5"/>
        <v>0</v>
      </c>
      <c r="Z20" s="36">
        <f t="shared" si="5"/>
        <v>0</v>
      </c>
      <c r="AA20" s="36">
        <f t="shared" si="5"/>
        <v>0</v>
      </c>
      <c r="AB20" s="36">
        <f t="shared" si="5"/>
        <v>0</v>
      </c>
      <c r="AC20" s="36">
        <f t="shared" si="5"/>
        <v>0</v>
      </c>
      <c r="AD20" s="36">
        <f t="shared" si="5"/>
        <v>0</v>
      </c>
      <c r="AE20" s="36">
        <f t="shared" si="5"/>
        <v>0</v>
      </c>
      <c r="AF20" s="36">
        <f t="shared" si="5"/>
        <v>0</v>
      </c>
      <c r="AG20" s="36">
        <f t="shared" si="5"/>
        <v>0</v>
      </c>
      <c r="AH20" s="36">
        <f t="shared" si="5"/>
        <v>0</v>
      </c>
    </row>
    <row r="21" spans="1:34" ht="18.75" x14ac:dyDescent="0.3">
      <c r="A21" s="105"/>
      <c r="B21" s="37" t="s">
        <v>58</v>
      </c>
      <c r="C21" s="35" t="s">
        <v>36</v>
      </c>
      <c r="D21" s="35"/>
      <c r="E21" s="35"/>
      <c r="F21" s="36">
        <f t="shared" ref="F21:AH21" si="6">COUNTIF(F5:F12,"A4")</f>
        <v>0</v>
      </c>
      <c r="G21" s="36">
        <f t="shared" si="6"/>
        <v>1</v>
      </c>
      <c r="H21" s="36">
        <f t="shared" si="6"/>
        <v>0</v>
      </c>
      <c r="I21" s="36">
        <f t="shared" si="6"/>
        <v>0</v>
      </c>
      <c r="J21" s="36">
        <f t="shared" si="6"/>
        <v>0</v>
      </c>
      <c r="K21" s="36">
        <f t="shared" si="6"/>
        <v>0</v>
      </c>
      <c r="L21" s="36">
        <f t="shared" si="6"/>
        <v>0</v>
      </c>
      <c r="M21" s="36">
        <f t="shared" si="6"/>
        <v>0</v>
      </c>
      <c r="N21" s="36">
        <f t="shared" si="6"/>
        <v>0</v>
      </c>
      <c r="O21" s="36">
        <f t="shared" si="6"/>
        <v>0</v>
      </c>
      <c r="P21" s="36">
        <f t="shared" si="6"/>
        <v>0</v>
      </c>
      <c r="Q21" s="36">
        <f t="shared" si="6"/>
        <v>0</v>
      </c>
      <c r="R21" s="36">
        <f t="shared" si="6"/>
        <v>1</v>
      </c>
      <c r="S21" s="36">
        <f t="shared" si="6"/>
        <v>1</v>
      </c>
      <c r="T21" s="36">
        <f t="shared" si="6"/>
        <v>0</v>
      </c>
      <c r="U21" s="36">
        <f t="shared" si="6"/>
        <v>0</v>
      </c>
      <c r="V21" s="36">
        <f t="shared" si="6"/>
        <v>0</v>
      </c>
      <c r="W21" s="36">
        <f t="shared" si="6"/>
        <v>0</v>
      </c>
      <c r="X21" s="36">
        <f t="shared" si="6"/>
        <v>1</v>
      </c>
      <c r="Y21" s="36">
        <f t="shared" si="6"/>
        <v>1</v>
      </c>
      <c r="Z21" s="36">
        <f t="shared" si="6"/>
        <v>0</v>
      </c>
      <c r="AA21" s="36">
        <f t="shared" si="6"/>
        <v>0</v>
      </c>
      <c r="AB21" s="36">
        <f t="shared" si="6"/>
        <v>0</v>
      </c>
      <c r="AC21" s="36">
        <f t="shared" si="6"/>
        <v>0</v>
      </c>
      <c r="AD21" s="36">
        <f t="shared" si="6"/>
        <v>0</v>
      </c>
      <c r="AE21" s="36">
        <f t="shared" si="6"/>
        <v>0</v>
      </c>
      <c r="AF21" s="36">
        <f t="shared" si="6"/>
        <v>0</v>
      </c>
      <c r="AG21" s="36">
        <f t="shared" si="6"/>
        <v>0</v>
      </c>
      <c r="AH21" s="36">
        <f t="shared" si="6"/>
        <v>0</v>
      </c>
    </row>
    <row r="22" spans="1:34" ht="18.75" x14ac:dyDescent="0.3">
      <c r="A22" s="105"/>
      <c r="B22" s="37" t="s">
        <v>59</v>
      </c>
      <c r="C22" s="35" t="s">
        <v>42</v>
      </c>
      <c r="D22" s="35"/>
      <c r="E22" s="35"/>
      <c r="F22" s="36">
        <f t="shared" ref="F22:AH22" si="7">COUNTIF(F5:F12,"A5")</f>
        <v>0</v>
      </c>
      <c r="G22" s="36">
        <f t="shared" si="7"/>
        <v>0</v>
      </c>
      <c r="H22" s="36">
        <f t="shared" si="7"/>
        <v>0</v>
      </c>
      <c r="I22" s="36">
        <f t="shared" si="7"/>
        <v>0</v>
      </c>
      <c r="J22" s="36">
        <f t="shared" si="7"/>
        <v>0</v>
      </c>
      <c r="K22" s="36">
        <f t="shared" si="7"/>
        <v>0</v>
      </c>
      <c r="L22" s="36">
        <f t="shared" si="7"/>
        <v>0</v>
      </c>
      <c r="M22" s="36">
        <f t="shared" si="7"/>
        <v>1</v>
      </c>
      <c r="N22" s="36">
        <f t="shared" si="7"/>
        <v>0</v>
      </c>
      <c r="O22" s="36">
        <f t="shared" si="7"/>
        <v>0</v>
      </c>
      <c r="P22" s="36">
        <f t="shared" si="7"/>
        <v>0</v>
      </c>
      <c r="Q22" s="36">
        <f t="shared" si="7"/>
        <v>0</v>
      </c>
      <c r="R22" s="36">
        <f t="shared" si="7"/>
        <v>0</v>
      </c>
      <c r="S22" s="36">
        <f t="shared" si="7"/>
        <v>0</v>
      </c>
      <c r="T22" s="36">
        <f t="shared" si="7"/>
        <v>0</v>
      </c>
      <c r="U22" s="36">
        <f t="shared" si="7"/>
        <v>0</v>
      </c>
      <c r="V22" s="36">
        <f t="shared" si="7"/>
        <v>0</v>
      </c>
      <c r="W22" s="36">
        <f t="shared" si="7"/>
        <v>0</v>
      </c>
      <c r="X22" s="36">
        <f t="shared" si="7"/>
        <v>0</v>
      </c>
      <c r="Y22" s="36">
        <f t="shared" si="7"/>
        <v>0</v>
      </c>
      <c r="Z22" s="36">
        <f t="shared" si="7"/>
        <v>0</v>
      </c>
      <c r="AA22" s="36">
        <f t="shared" si="7"/>
        <v>0</v>
      </c>
      <c r="AB22" s="36">
        <f t="shared" si="7"/>
        <v>0</v>
      </c>
      <c r="AC22" s="36">
        <f t="shared" si="7"/>
        <v>0</v>
      </c>
      <c r="AD22" s="36">
        <f t="shared" si="7"/>
        <v>0</v>
      </c>
      <c r="AE22" s="36">
        <f t="shared" si="7"/>
        <v>0</v>
      </c>
      <c r="AF22" s="36">
        <f t="shared" si="7"/>
        <v>0</v>
      </c>
      <c r="AG22" s="36">
        <f t="shared" si="7"/>
        <v>0</v>
      </c>
      <c r="AH22" s="36">
        <f t="shared" si="7"/>
        <v>0</v>
      </c>
    </row>
    <row r="23" spans="1:34" ht="18.75" x14ac:dyDescent="0.3">
      <c r="A23" s="105"/>
      <c r="B23" s="37" t="s">
        <v>60</v>
      </c>
      <c r="C23" s="35" t="s">
        <v>49</v>
      </c>
      <c r="D23" s="35"/>
      <c r="E23" s="35"/>
      <c r="F23" s="36">
        <f t="shared" ref="F23:AH23" si="8">COUNTIF(F5:F12,"A6")</f>
        <v>0</v>
      </c>
      <c r="G23" s="36">
        <f t="shared" si="8"/>
        <v>0</v>
      </c>
      <c r="H23" s="36">
        <f t="shared" si="8"/>
        <v>0</v>
      </c>
      <c r="I23" s="36">
        <f t="shared" si="8"/>
        <v>0</v>
      </c>
      <c r="J23" s="36">
        <f t="shared" si="8"/>
        <v>0</v>
      </c>
      <c r="K23" s="36">
        <f t="shared" si="8"/>
        <v>0</v>
      </c>
      <c r="L23" s="36">
        <f t="shared" si="8"/>
        <v>1</v>
      </c>
      <c r="M23" s="36">
        <f t="shared" si="8"/>
        <v>0</v>
      </c>
      <c r="N23" s="36">
        <f t="shared" si="8"/>
        <v>0</v>
      </c>
      <c r="O23" s="36">
        <f t="shared" si="8"/>
        <v>0</v>
      </c>
      <c r="P23" s="36">
        <f t="shared" si="8"/>
        <v>0</v>
      </c>
      <c r="Q23" s="36">
        <f t="shared" si="8"/>
        <v>0</v>
      </c>
      <c r="R23" s="36">
        <f t="shared" si="8"/>
        <v>0</v>
      </c>
      <c r="S23" s="36">
        <f t="shared" si="8"/>
        <v>0</v>
      </c>
      <c r="T23" s="36">
        <f t="shared" si="8"/>
        <v>0</v>
      </c>
      <c r="U23" s="36">
        <f t="shared" si="8"/>
        <v>0</v>
      </c>
      <c r="V23" s="36">
        <f t="shared" si="8"/>
        <v>0</v>
      </c>
      <c r="W23" s="36">
        <f t="shared" si="8"/>
        <v>0</v>
      </c>
      <c r="X23" s="36">
        <f t="shared" si="8"/>
        <v>0</v>
      </c>
      <c r="Y23" s="36">
        <f t="shared" si="8"/>
        <v>0</v>
      </c>
      <c r="Z23" s="36">
        <f t="shared" si="8"/>
        <v>0</v>
      </c>
      <c r="AA23" s="36">
        <f t="shared" si="8"/>
        <v>0</v>
      </c>
      <c r="AB23" s="36">
        <f t="shared" si="8"/>
        <v>0</v>
      </c>
      <c r="AC23" s="36">
        <f t="shared" si="8"/>
        <v>0</v>
      </c>
      <c r="AD23" s="36">
        <f t="shared" si="8"/>
        <v>1</v>
      </c>
      <c r="AE23" s="36">
        <f t="shared" si="8"/>
        <v>0</v>
      </c>
      <c r="AF23" s="36">
        <f t="shared" si="8"/>
        <v>0</v>
      </c>
      <c r="AG23" s="36">
        <f t="shared" si="8"/>
        <v>0</v>
      </c>
      <c r="AH23" s="36">
        <f t="shared" si="8"/>
        <v>0</v>
      </c>
    </row>
    <row r="24" spans="1:34" ht="18.75" x14ac:dyDescent="0.3">
      <c r="A24" s="105"/>
      <c r="B24" s="37" t="s">
        <v>61</v>
      </c>
      <c r="C24" s="35" t="s">
        <v>62</v>
      </c>
      <c r="D24" s="35"/>
      <c r="E24" s="35"/>
      <c r="F24" s="36">
        <f t="shared" ref="F24:AH24" si="9">COUNTIF(F5:F12,"A7")</f>
        <v>0</v>
      </c>
      <c r="G24" s="36">
        <f t="shared" si="9"/>
        <v>0</v>
      </c>
      <c r="H24" s="36">
        <f t="shared" si="9"/>
        <v>0</v>
      </c>
      <c r="I24" s="36">
        <f t="shared" si="9"/>
        <v>0</v>
      </c>
      <c r="J24" s="36">
        <f t="shared" si="9"/>
        <v>0</v>
      </c>
      <c r="K24" s="36">
        <f t="shared" si="9"/>
        <v>0</v>
      </c>
      <c r="L24" s="36">
        <f t="shared" si="9"/>
        <v>0</v>
      </c>
      <c r="M24" s="36">
        <f t="shared" si="9"/>
        <v>0</v>
      </c>
      <c r="N24" s="36">
        <f t="shared" si="9"/>
        <v>0</v>
      </c>
      <c r="O24" s="36">
        <f t="shared" si="9"/>
        <v>0</v>
      </c>
      <c r="P24" s="36">
        <f t="shared" si="9"/>
        <v>0</v>
      </c>
      <c r="Q24" s="36">
        <f t="shared" si="9"/>
        <v>0</v>
      </c>
      <c r="R24" s="36">
        <f t="shared" si="9"/>
        <v>0</v>
      </c>
      <c r="S24" s="36">
        <f t="shared" si="9"/>
        <v>0</v>
      </c>
      <c r="T24" s="36">
        <f t="shared" si="9"/>
        <v>0</v>
      </c>
      <c r="U24" s="36">
        <f t="shared" si="9"/>
        <v>0</v>
      </c>
      <c r="V24" s="36">
        <f t="shared" si="9"/>
        <v>0</v>
      </c>
      <c r="W24" s="36">
        <f t="shared" si="9"/>
        <v>0</v>
      </c>
      <c r="X24" s="36">
        <f t="shared" si="9"/>
        <v>0</v>
      </c>
      <c r="Y24" s="36">
        <f t="shared" si="9"/>
        <v>0</v>
      </c>
      <c r="Z24" s="36">
        <f t="shared" si="9"/>
        <v>0</v>
      </c>
      <c r="AA24" s="36">
        <f t="shared" si="9"/>
        <v>0</v>
      </c>
      <c r="AB24" s="36">
        <f t="shared" si="9"/>
        <v>0</v>
      </c>
      <c r="AC24" s="36">
        <f t="shared" si="9"/>
        <v>0</v>
      </c>
      <c r="AD24" s="36">
        <f t="shared" si="9"/>
        <v>0</v>
      </c>
      <c r="AE24" s="36">
        <f t="shared" si="9"/>
        <v>0</v>
      </c>
      <c r="AF24" s="36">
        <f t="shared" si="9"/>
        <v>0</v>
      </c>
      <c r="AG24" s="36">
        <f t="shared" si="9"/>
        <v>0</v>
      </c>
      <c r="AH24" s="36">
        <f t="shared" si="9"/>
        <v>0</v>
      </c>
    </row>
    <row r="25" spans="1:34" ht="18.75" x14ac:dyDescent="0.3">
      <c r="A25" s="105"/>
      <c r="B25" s="37" t="s">
        <v>63</v>
      </c>
      <c r="C25" s="35" t="s">
        <v>64</v>
      </c>
      <c r="D25" s="35"/>
      <c r="E25" s="35"/>
      <c r="F25" s="36">
        <f t="shared" ref="F25:AH25" si="10">COUNTIF(F5:F12,"A8")</f>
        <v>0</v>
      </c>
      <c r="G25" s="36">
        <f t="shared" si="10"/>
        <v>0</v>
      </c>
      <c r="H25" s="36">
        <f t="shared" si="10"/>
        <v>0</v>
      </c>
      <c r="I25" s="36">
        <f t="shared" si="10"/>
        <v>0</v>
      </c>
      <c r="J25" s="36">
        <f t="shared" si="10"/>
        <v>0</v>
      </c>
      <c r="K25" s="36">
        <f t="shared" si="10"/>
        <v>0</v>
      </c>
      <c r="L25" s="36">
        <f t="shared" si="10"/>
        <v>0</v>
      </c>
      <c r="M25" s="36">
        <f t="shared" si="10"/>
        <v>0</v>
      </c>
      <c r="N25" s="36">
        <f t="shared" si="10"/>
        <v>0</v>
      </c>
      <c r="O25" s="36">
        <f t="shared" si="10"/>
        <v>0</v>
      </c>
      <c r="P25" s="36">
        <f t="shared" si="10"/>
        <v>0</v>
      </c>
      <c r="Q25" s="36">
        <f t="shared" si="10"/>
        <v>0</v>
      </c>
      <c r="R25" s="36">
        <f t="shared" si="10"/>
        <v>0</v>
      </c>
      <c r="S25" s="36">
        <f t="shared" si="10"/>
        <v>0</v>
      </c>
      <c r="T25" s="36">
        <f t="shared" si="10"/>
        <v>0</v>
      </c>
      <c r="U25" s="36">
        <f t="shared" si="10"/>
        <v>0</v>
      </c>
      <c r="V25" s="36">
        <f t="shared" si="10"/>
        <v>0</v>
      </c>
      <c r="W25" s="36">
        <f t="shared" si="10"/>
        <v>0</v>
      </c>
      <c r="X25" s="36">
        <f t="shared" si="10"/>
        <v>0</v>
      </c>
      <c r="Y25" s="36">
        <f t="shared" si="10"/>
        <v>0</v>
      </c>
      <c r="Z25" s="36">
        <f t="shared" si="10"/>
        <v>0</v>
      </c>
      <c r="AA25" s="36">
        <f t="shared" si="10"/>
        <v>0</v>
      </c>
      <c r="AB25" s="36">
        <f t="shared" si="10"/>
        <v>0</v>
      </c>
      <c r="AC25" s="36">
        <f t="shared" si="10"/>
        <v>0</v>
      </c>
      <c r="AD25" s="36">
        <f t="shared" si="10"/>
        <v>0</v>
      </c>
      <c r="AE25" s="36">
        <f t="shared" si="10"/>
        <v>0</v>
      </c>
      <c r="AF25" s="36">
        <f t="shared" si="10"/>
        <v>0</v>
      </c>
      <c r="AG25" s="36">
        <f t="shared" si="10"/>
        <v>0</v>
      </c>
      <c r="AH25" s="36">
        <f t="shared" si="10"/>
        <v>0</v>
      </c>
    </row>
    <row r="26" spans="1:34" ht="18.75" x14ac:dyDescent="0.3">
      <c r="A26" s="105"/>
      <c r="B26" s="37" t="s">
        <v>65</v>
      </c>
      <c r="C26" s="35" t="s">
        <v>66</v>
      </c>
      <c r="D26" s="35"/>
      <c r="E26" s="35"/>
      <c r="F26" s="36">
        <f t="shared" ref="F26:AH26" si="11">COUNTIF(F5:F12,"A9")</f>
        <v>0</v>
      </c>
      <c r="G26" s="36">
        <f t="shared" si="11"/>
        <v>0</v>
      </c>
      <c r="H26" s="36">
        <f t="shared" si="11"/>
        <v>1</v>
      </c>
      <c r="I26" s="36">
        <f t="shared" si="11"/>
        <v>0</v>
      </c>
      <c r="J26" s="36">
        <f t="shared" si="11"/>
        <v>0</v>
      </c>
      <c r="K26" s="36">
        <f t="shared" si="11"/>
        <v>1</v>
      </c>
      <c r="L26" s="36">
        <f t="shared" si="11"/>
        <v>0</v>
      </c>
      <c r="M26" s="36">
        <f t="shared" si="11"/>
        <v>0</v>
      </c>
      <c r="N26" s="36">
        <f t="shared" si="11"/>
        <v>0</v>
      </c>
      <c r="O26" s="36">
        <f t="shared" si="11"/>
        <v>0</v>
      </c>
      <c r="P26" s="36">
        <f t="shared" si="11"/>
        <v>0</v>
      </c>
      <c r="Q26" s="36">
        <f t="shared" si="11"/>
        <v>0</v>
      </c>
      <c r="R26" s="36">
        <f t="shared" si="11"/>
        <v>0</v>
      </c>
      <c r="S26" s="36">
        <f t="shared" si="11"/>
        <v>0</v>
      </c>
      <c r="T26" s="36">
        <f t="shared" si="11"/>
        <v>0</v>
      </c>
      <c r="U26" s="36">
        <f t="shared" si="11"/>
        <v>0</v>
      </c>
      <c r="V26" s="36">
        <f t="shared" si="11"/>
        <v>0</v>
      </c>
      <c r="W26" s="36">
        <f t="shared" si="11"/>
        <v>0</v>
      </c>
      <c r="X26" s="36">
        <f t="shared" si="11"/>
        <v>0</v>
      </c>
      <c r="Y26" s="36">
        <f t="shared" si="11"/>
        <v>0</v>
      </c>
      <c r="Z26" s="36">
        <f t="shared" si="11"/>
        <v>0</v>
      </c>
      <c r="AA26" s="36">
        <f t="shared" si="11"/>
        <v>0</v>
      </c>
      <c r="AB26" s="36">
        <f t="shared" si="11"/>
        <v>0</v>
      </c>
      <c r="AC26" s="36">
        <f t="shared" si="11"/>
        <v>0</v>
      </c>
      <c r="AD26" s="36">
        <f t="shared" si="11"/>
        <v>0</v>
      </c>
      <c r="AE26" s="36">
        <f t="shared" si="11"/>
        <v>0</v>
      </c>
      <c r="AF26" s="36">
        <f t="shared" si="11"/>
        <v>0</v>
      </c>
      <c r="AG26" s="36">
        <f t="shared" si="11"/>
        <v>0</v>
      </c>
      <c r="AH26" s="36">
        <f t="shared" si="11"/>
        <v>0</v>
      </c>
    </row>
    <row r="27" spans="1:34" ht="18.75" x14ac:dyDescent="0.3">
      <c r="A27" s="105"/>
      <c r="B27" s="37" t="s">
        <v>67</v>
      </c>
      <c r="C27" s="35" t="s">
        <v>35</v>
      </c>
      <c r="D27" s="35"/>
      <c r="E27" s="35"/>
      <c r="F27" s="36">
        <f t="shared" ref="F27:AH27" si="12">COUNTIF(F5:F12,"A10")</f>
        <v>1</v>
      </c>
      <c r="G27" s="36">
        <f t="shared" si="12"/>
        <v>2</v>
      </c>
      <c r="H27" s="36">
        <f t="shared" si="12"/>
        <v>1</v>
      </c>
      <c r="I27" s="36">
        <f t="shared" si="12"/>
        <v>1</v>
      </c>
      <c r="J27" s="36">
        <f t="shared" si="12"/>
        <v>2</v>
      </c>
      <c r="K27" s="36">
        <f t="shared" si="12"/>
        <v>1</v>
      </c>
      <c r="L27" s="36">
        <f t="shared" si="12"/>
        <v>0</v>
      </c>
      <c r="M27" s="36">
        <f t="shared" si="12"/>
        <v>1</v>
      </c>
      <c r="N27" s="36">
        <f t="shared" si="12"/>
        <v>0</v>
      </c>
      <c r="O27" s="36">
        <f t="shared" si="12"/>
        <v>0</v>
      </c>
      <c r="P27" s="36">
        <f t="shared" si="12"/>
        <v>0</v>
      </c>
      <c r="Q27" s="36">
        <f t="shared" si="12"/>
        <v>0</v>
      </c>
      <c r="R27" s="36">
        <f t="shared" si="12"/>
        <v>0</v>
      </c>
      <c r="S27" s="36">
        <f t="shared" si="12"/>
        <v>0</v>
      </c>
      <c r="T27" s="36">
        <f t="shared" si="12"/>
        <v>0</v>
      </c>
      <c r="U27" s="36">
        <f t="shared" si="12"/>
        <v>0</v>
      </c>
      <c r="V27" s="36">
        <f t="shared" si="12"/>
        <v>0</v>
      </c>
      <c r="W27" s="36">
        <f t="shared" si="12"/>
        <v>0</v>
      </c>
      <c r="X27" s="36">
        <f t="shared" si="12"/>
        <v>0</v>
      </c>
      <c r="Y27" s="36">
        <f t="shared" si="12"/>
        <v>0</v>
      </c>
      <c r="Z27" s="36">
        <f t="shared" si="12"/>
        <v>1</v>
      </c>
      <c r="AA27" s="36">
        <f t="shared" si="12"/>
        <v>1</v>
      </c>
      <c r="AB27" s="36">
        <f t="shared" si="12"/>
        <v>1</v>
      </c>
      <c r="AC27" s="36">
        <f t="shared" si="12"/>
        <v>0</v>
      </c>
      <c r="AD27" s="36">
        <f t="shared" si="12"/>
        <v>1</v>
      </c>
      <c r="AE27" s="36">
        <f t="shared" si="12"/>
        <v>0</v>
      </c>
      <c r="AF27" s="36">
        <f t="shared" si="12"/>
        <v>0</v>
      </c>
      <c r="AG27" s="36">
        <f t="shared" si="12"/>
        <v>0</v>
      </c>
      <c r="AH27" s="36">
        <f t="shared" si="12"/>
        <v>0</v>
      </c>
    </row>
    <row r="28" spans="1:34" ht="18.75" x14ac:dyDescent="0.3">
      <c r="A28" s="105"/>
      <c r="B28" s="37" t="s">
        <v>89</v>
      </c>
      <c r="C28" s="35" t="s">
        <v>47</v>
      </c>
      <c r="D28" s="35"/>
      <c r="E28" s="35"/>
      <c r="F28" s="36">
        <f t="shared" ref="F28:AG28" si="13">COUNTIF(F9:F14,"A11")</f>
        <v>0</v>
      </c>
      <c r="G28" s="36">
        <f t="shared" si="13"/>
        <v>0</v>
      </c>
      <c r="H28" s="36">
        <f t="shared" si="13"/>
        <v>0</v>
      </c>
      <c r="I28" s="36">
        <f t="shared" si="13"/>
        <v>0</v>
      </c>
      <c r="J28" s="36">
        <f t="shared" si="13"/>
        <v>0</v>
      </c>
      <c r="K28" s="36">
        <f t="shared" si="13"/>
        <v>0</v>
      </c>
      <c r="L28" s="36">
        <f t="shared" si="13"/>
        <v>0</v>
      </c>
      <c r="M28" s="36">
        <f t="shared" si="13"/>
        <v>0</v>
      </c>
      <c r="N28" s="36">
        <f t="shared" si="13"/>
        <v>1</v>
      </c>
      <c r="O28" s="36">
        <f t="shared" si="13"/>
        <v>1</v>
      </c>
      <c r="P28" s="36">
        <f t="shared" si="13"/>
        <v>1</v>
      </c>
      <c r="Q28" s="36">
        <f t="shared" si="13"/>
        <v>1</v>
      </c>
      <c r="R28" s="36">
        <f t="shared" si="13"/>
        <v>1</v>
      </c>
      <c r="S28" s="36">
        <f t="shared" si="13"/>
        <v>0</v>
      </c>
      <c r="T28" s="36">
        <f t="shared" si="13"/>
        <v>1</v>
      </c>
      <c r="U28" s="36">
        <f t="shared" si="13"/>
        <v>0</v>
      </c>
      <c r="V28" s="36">
        <f t="shared" si="13"/>
        <v>0</v>
      </c>
      <c r="W28" s="36">
        <f t="shared" si="13"/>
        <v>0</v>
      </c>
      <c r="X28" s="36">
        <f t="shared" si="13"/>
        <v>0</v>
      </c>
      <c r="Y28" s="36">
        <f t="shared" si="13"/>
        <v>1</v>
      </c>
      <c r="Z28" s="36">
        <f t="shared" si="13"/>
        <v>0</v>
      </c>
      <c r="AA28" s="36">
        <f t="shared" si="13"/>
        <v>0</v>
      </c>
      <c r="AB28" s="36">
        <f t="shared" si="13"/>
        <v>0</v>
      </c>
      <c r="AC28" s="36">
        <f t="shared" si="13"/>
        <v>1</v>
      </c>
      <c r="AD28" s="36">
        <f t="shared" si="13"/>
        <v>0</v>
      </c>
      <c r="AE28" s="36">
        <f t="shared" si="13"/>
        <v>1</v>
      </c>
      <c r="AF28" s="36">
        <f t="shared" si="13"/>
        <v>0</v>
      </c>
      <c r="AG28" s="36">
        <f t="shared" si="13"/>
        <v>1</v>
      </c>
      <c r="AH28" s="36">
        <f t="shared" ref="AH28" si="14">COUNTIF(AH9:AH14,"A11")</f>
        <v>1</v>
      </c>
    </row>
    <row r="29" spans="1:34" ht="18.75" x14ac:dyDescent="0.3">
      <c r="A29" s="105"/>
      <c r="B29" s="38" t="s">
        <v>69</v>
      </c>
      <c r="C29" s="35" t="s">
        <v>0</v>
      </c>
      <c r="D29" s="35"/>
      <c r="E29" s="35"/>
      <c r="F29" s="36">
        <f>COUNTIF(F5:F13,"OFF")</f>
        <v>1</v>
      </c>
      <c r="G29" s="36">
        <f t="shared" ref="G29:AH29" si="15">COUNTIF(G5:G12,"OFF")</f>
        <v>0</v>
      </c>
      <c r="H29" s="36">
        <f t="shared" si="15"/>
        <v>1</v>
      </c>
      <c r="I29" s="36">
        <f t="shared" si="15"/>
        <v>3</v>
      </c>
      <c r="J29" s="36">
        <f t="shared" si="15"/>
        <v>1</v>
      </c>
      <c r="K29" s="36">
        <f t="shared" si="15"/>
        <v>2</v>
      </c>
      <c r="L29" s="36">
        <f t="shared" si="15"/>
        <v>0</v>
      </c>
      <c r="M29" s="36">
        <f t="shared" si="15"/>
        <v>0</v>
      </c>
      <c r="N29" s="36">
        <f t="shared" si="15"/>
        <v>0</v>
      </c>
      <c r="O29" s="36">
        <f t="shared" si="15"/>
        <v>3</v>
      </c>
      <c r="P29" s="36">
        <f t="shared" si="15"/>
        <v>3</v>
      </c>
      <c r="Q29" s="36">
        <f t="shared" si="15"/>
        <v>1</v>
      </c>
      <c r="R29" s="36">
        <f t="shared" si="15"/>
        <v>2</v>
      </c>
      <c r="S29" s="36">
        <f t="shared" si="15"/>
        <v>1</v>
      </c>
      <c r="T29" s="36">
        <f t="shared" si="15"/>
        <v>1</v>
      </c>
      <c r="U29" s="36">
        <f t="shared" si="15"/>
        <v>4</v>
      </c>
      <c r="V29" s="36">
        <f t="shared" si="15"/>
        <v>0</v>
      </c>
      <c r="W29" s="36">
        <f t="shared" si="15"/>
        <v>2</v>
      </c>
      <c r="X29" s="36">
        <f t="shared" si="15"/>
        <v>2</v>
      </c>
      <c r="Y29" s="36">
        <f t="shared" si="15"/>
        <v>1</v>
      </c>
      <c r="Z29" s="36">
        <f t="shared" si="15"/>
        <v>2</v>
      </c>
      <c r="AA29" s="36">
        <f t="shared" si="15"/>
        <v>1</v>
      </c>
      <c r="AB29" s="36">
        <f t="shared" si="15"/>
        <v>2</v>
      </c>
      <c r="AC29" s="36">
        <f t="shared" si="15"/>
        <v>1</v>
      </c>
      <c r="AD29" s="36">
        <f t="shared" si="15"/>
        <v>2</v>
      </c>
      <c r="AE29" s="36">
        <f t="shared" si="15"/>
        <v>2</v>
      </c>
      <c r="AF29" s="36">
        <f t="shared" si="15"/>
        <v>2</v>
      </c>
      <c r="AG29" s="36">
        <f t="shared" si="15"/>
        <v>1</v>
      </c>
      <c r="AH29" s="36">
        <f t="shared" si="15"/>
        <v>1</v>
      </c>
    </row>
    <row r="30" spans="1:34" ht="18.75" x14ac:dyDescent="0.3">
      <c r="A30" s="105"/>
      <c r="B30" s="59" t="s">
        <v>70</v>
      </c>
      <c r="C30" s="60" t="s">
        <v>71</v>
      </c>
      <c r="D30" s="35"/>
      <c r="E30" s="35"/>
      <c r="F30" s="36">
        <f t="shared" ref="F30:AG30" si="16">COUNTIF(F9:F14,"UL")</f>
        <v>0</v>
      </c>
      <c r="G30" s="36">
        <f t="shared" si="16"/>
        <v>0</v>
      </c>
      <c r="H30" s="36">
        <f t="shared" si="16"/>
        <v>0</v>
      </c>
      <c r="I30" s="36">
        <f t="shared" si="16"/>
        <v>0</v>
      </c>
      <c r="J30" s="36">
        <f t="shared" si="16"/>
        <v>0</v>
      </c>
      <c r="K30" s="36">
        <f t="shared" si="16"/>
        <v>0</v>
      </c>
      <c r="L30" s="36">
        <f t="shared" si="16"/>
        <v>0</v>
      </c>
      <c r="M30" s="36">
        <f t="shared" si="16"/>
        <v>0</v>
      </c>
      <c r="N30" s="36">
        <f t="shared" si="16"/>
        <v>0</v>
      </c>
      <c r="O30" s="36">
        <f t="shared" si="16"/>
        <v>0</v>
      </c>
      <c r="P30" s="36">
        <f t="shared" si="16"/>
        <v>0</v>
      </c>
      <c r="Q30" s="36">
        <f t="shared" si="16"/>
        <v>0</v>
      </c>
      <c r="R30" s="36">
        <f t="shared" si="16"/>
        <v>0</v>
      </c>
      <c r="S30" s="36">
        <f t="shared" si="16"/>
        <v>0</v>
      </c>
      <c r="T30" s="36">
        <f t="shared" si="16"/>
        <v>0</v>
      </c>
      <c r="U30" s="36">
        <f t="shared" si="16"/>
        <v>0</v>
      </c>
      <c r="V30" s="36">
        <f t="shared" si="16"/>
        <v>0</v>
      </c>
      <c r="W30" s="36">
        <f t="shared" si="16"/>
        <v>0</v>
      </c>
      <c r="X30" s="36">
        <f t="shared" si="16"/>
        <v>0</v>
      </c>
      <c r="Y30" s="36">
        <f t="shared" si="16"/>
        <v>0</v>
      </c>
      <c r="Z30" s="36">
        <f t="shared" si="16"/>
        <v>0</v>
      </c>
      <c r="AA30" s="36">
        <f t="shared" si="16"/>
        <v>0</v>
      </c>
      <c r="AB30" s="36">
        <f t="shared" si="16"/>
        <v>0</v>
      </c>
      <c r="AC30" s="36">
        <f t="shared" si="16"/>
        <v>0</v>
      </c>
      <c r="AD30" s="36">
        <f t="shared" si="16"/>
        <v>0</v>
      </c>
      <c r="AE30" s="36">
        <f t="shared" si="16"/>
        <v>0</v>
      </c>
      <c r="AF30" s="36">
        <f t="shared" si="16"/>
        <v>0</v>
      </c>
      <c r="AG30" s="36">
        <f t="shared" si="16"/>
        <v>0</v>
      </c>
      <c r="AH30" s="36">
        <f t="shared" ref="AH30" si="17">COUNTIF(AH9:AH14,"UL")</f>
        <v>0</v>
      </c>
    </row>
    <row r="31" spans="1:34" ht="18.75" x14ac:dyDescent="0.3">
      <c r="A31" s="105"/>
      <c r="B31" s="38" t="s">
        <v>72</v>
      </c>
      <c r="C31" s="35" t="s">
        <v>21</v>
      </c>
      <c r="D31" s="35"/>
      <c r="E31" s="35"/>
      <c r="F31" s="36">
        <f t="shared" ref="F31:AH31" si="18">COUNTIF(F5:F13,"AL")</f>
        <v>0</v>
      </c>
      <c r="G31" s="36">
        <f t="shared" si="18"/>
        <v>0</v>
      </c>
      <c r="H31" s="36">
        <f t="shared" si="18"/>
        <v>1</v>
      </c>
      <c r="I31" s="36">
        <f t="shared" si="18"/>
        <v>0</v>
      </c>
      <c r="J31" s="36">
        <f t="shared" si="18"/>
        <v>0</v>
      </c>
      <c r="K31" s="36">
        <f t="shared" si="18"/>
        <v>0</v>
      </c>
      <c r="L31" s="36">
        <f t="shared" si="18"/>
        <v>1</v>
      </c>
      <c r="M31" s="36">
        <f t="shared" si="18"/>
        <v>0</v>
      </c>
      <c r="N31" s="36">
        <f t="shared" si="18"/>
        <v>0</v>
      </c>
      <c r="O31" s="36">
        <f t="shared" si="18"/>
        <v>0</v>
      </c>
      <c r="P31" s="36">
        <f t="shared" si="18"/>
        <v>0</v>
      </c>
      <c r="Q31" s="36">
        <f t="shared" si="18"/>
        <v>0</v>
      </c>
      <c r="R31" s="36">
        <f t="shared" si="18"/>
        <v>0</v>
      </c>
      <c r="S31" s="36">
        <f t="shared" si="18"/>
        <v>0</v>
      </c>
      <c r="T31" s="36">
        <f t="shared" si="18"/>
        <v>1</v>
      </c>
      <c r="U31" s="36">
        <f t="shared" si="18"/>
        <v>0</v>
      </c>
      <c r="V31" s="36">
        <f t="shared" si="18"/>
        <v>0</v>
      </c>
      <c r="W31" s="36">
        <f t="shared" si="18"/>
        <v>0</v>
      </c>
      <c r="X31" s="36">
        <f t="shared" si="18"/>
        <v>0</v>
      </c>
      <c r="Y31" s="36">
        <f t="shared" si="18"/>
        <v>0</v>
      </c>
      <c r="Z31" s="36">
        <f t="shared" si="18"/>
        <v>0</v>
      </c>
      <c r="AA31" s="36">
        <f t="shared" si="18"/>
        <v>0</v>
      </c>
      <c r="AB31" s="36">
        <f t="shared" si="18"/>
        <v>0</v>
      </c>
      <c r="AC31" s="36">
        <f t="shared" si="18"/>
        <v>0</v>
      </c>
      <c r="AD31" s="36">
        <f t="shared" si="18"/>
        <v>0</v>
      </c>
      <c r="AE31" s="36">
        <f t="shared" si="18"/>
        <v>0</v>
      </c>
      <c r="AF31" s="36">
        <f t="shared" si="18"/>
        <v>0</v>
      </c>
      <c r="AG31" s="36">
        <f t="shared" si="18"/>
        <v>0</v>
      </c>
      <c r="AH31" s="36">
        <f t="shared" si="18"/>
        <v>0</v>
      </c>
    </row>
    <row r="32" spans="1:34" ht="18.75" x14ac:dyDescent="0.3">
      <c r="A32" s="105"/>
      <c r="B32" s="81" t="s">
        <v>73</v>
      </c>
      <c r="C32" s="35" t="s">
        <v>74</v>
      </c>
      <c r="D32" s="35"/>
      <c r="E32" s="35"/>
      <c r="F32" s="36">
        <f t="shared" ref="F32:AG32" si="19">COUNTIF(F5:F12,"PH")</f>
        <v>0</v>
      </c>
      <c r="G32" s="36">
        <f t="shared" si="19"/>
        <v>0</v>
      </c>
      <c r="H32" s="36">
        <f t="shared" si="19"/>
        <v>0</v>
      </c>
      <c r="I32" s="36">
        <f t="shared" si="19"/>
        <v>0</v>
      </c>
      <c r="J32" s="36">
        <f t="shared" si="19"/>
        <v>0</v>
      </c>
      <c r="K32" s="36">
        <f t="shared" si="19"/>
        <v>0</v>
      </c>
      <c r="L32" s="36">
        <f t="shared" si="19"/>
        <v>0</v>
      </c>
      <c r="M32" s="36">
        <f t="shared" si="19"/>
        <v>0</v>
      </c>
      <c r="N32" s="36">
        <f t="shared" si="19"/>
        <v>0</v>
      </c>
      <c r="O32" s="36">
        <f t="shared" si="19"/>
        <v>0</v>
      </c>
      <c r="P32" s="36">
        <f t="shared" si="19"/>
        <v>0</v>
      </c>
      <c r="Q32" s="36">
        <f t="shared" si="19"/>
        <v>0</v>
      </c>
      <c r="R32" s="36">
        <f t="shared" si="19"/>
        <v>0</v>
      </c>
      <c r="S32" s="36">
        <f t="shared" si="19"/>
        <v>0</v>
      </c>
      <c r="T32" s="36">
        <f t="shared" si="19"/>
        <v>0</v>
      </c>
      <c r="U32" s="36">
        <f t="shared" si="19"/>
        <v>0</v>
      </c>
      <c r="V32" s="36">
        <f t="shared" si="19"/>
        <v>6</v>
      </c>
      <c r="W32" s="36">
        <f t="shared" si="19"/>
        <v>0</v>
      </c>
      <c r="X32" s="36">
        <f t="shared" si="19"/>
        <v>0</v>
      </c>
      <c r="Y32" s="36">
        <f t="shared" si="19"/>
        <v>0</v>
      </c>
      <c r="Z32" s="36">
        <f t="shared" si="19"/>
        <v>0</v>
      </c>
      <c r="AA32" s="36">
        <f t="shared" si="19"/>
        <v>0</v>
      </c>
      <c r="AB32" s="36">
        <f t="shared" si="19"/>
        <v>0</v>
      </c>
      <c r="AC32" s="36">
        <f t="shared" si="19"/>
        <v>0</v>
      </c>
      <c r="AD32" s="36">
        <f t="shared" si="19"/>
        <v>0</v>
      </c>
      <c r="AE32" s="36">
        <f t="shared" si="19"/>
        <v>0</v>
      </c>
      <c r="AF32" s="36">
        <f t="shared" si="19"/>
        <v>0</v>
      </c>
      <c r="AG32" s="36">
        <f t="shared" si="19"/>
        <v>0</v>
      </c>
      <c r="AH32" s="36">
        <f t="shared" ref="AH32" si="20">COUNTIF(AH5:AH12,"PH")</f>
        <v>0</v>
      </c>
    </row>
    <row r="33" spans="1:2" ht="14.25" customHeight="1" x14ac:dyDescent="0.2">
      <c r="A33" s="82"/>
      <c r="B33" s="48"/>
    </row>
    <row r="34" spans="1:2" ht="14.25" customHeight="1" x14ac:dyDescent="0.2">
      <c r="A34" s="82"/>
      <c r="B34" s="48"/>
    </row>
    <row r="35" spans="1:2" ht="14.25" customHeight="1" x14ac:dyDescent="0.2">
      <c r="A35" s="82"/>
      <c r="B35" s="48"/>
    </row>
    <row r="36" spans="1:2" x14ac:dyDescent="0.2">
      <c r="A36" s="48"/>
      <c r="B36" s="48"/>
    </row>
  </sheetData>
  <mergeCells count="3">
    <mergeCell ref="A13:AG14"/>
    <mergeCell ref="A1:AG1"/>
    <mergeCell ref="A15:A32"/>
  </mergeCells>
  <phoneticPr fontId="22" type="noConversion"/>
  <conditionalFormatting sqref="F5:AH12">
    <cfRule type="containsText" dxfId="2" priority="45" operator="containsText" text="OFF">
      <formula>NOT(ISERROR(SEARCH("OFF",F5)))</formula>
    </cfRule>
  </conditionalFormatting>
  <pageMargins left="0.7" right="0.7" top="0.75" bottom="0.75" header="0.3" footer="0.3"/>
  <pageSetup paperSize="0" orientation="portrait" horizontalDpi="180" verticalDpi="180" copies="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870F-1A31-49BE-9659-C9C0397955C2}">
  <dimension ref="A1:BW35"/>
  <sheetViews>
    <sheetView tabSelected="1"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L16" sqref="AL16"/>
    </sheetView>
  </sheetViews>
  <sheetFormatPr defaultRowHeight="14.25" x14ac:dyDescent="0.2"/>
  <cols>
    <col min="1" max="1" width="6.875" customWidth="1"/>
    <col min="2" max="2" width="22" customWidth="1"/>
    <col min="3" max="3" width="5.5" customWidth="1"/>
    <col min="4" max="4" width="13.625" bestFit="1" customWidth="1"/>
    <col min="5" max="5" width="13.875" customWidth="1"/>
    <col min="6" max="13" width="5.625" hidden="1" customWidth="1"/>
    <col min="14" max="14" width="7.625" hidden="1" customWidth="1"/>
    <col min="15" max="34" width="6.5" hidden="1" customWidth="1"/>
  </cols>
  <sheetData>
    <row r="1" spans="1:75" ht="22.5" customHeight="1" x14ac:dyDescent="0.2">
      <c r="A1" s="108" t="s">
        <v>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75" ht="14.25" customHeight="1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</row>
    <row r="3" spans="1:75" ht="18.75" customHeight="1" x14ac:dyDescent="0.2">
      <c r="A3" s="17">
        <v>1207</v>
      </c>
      <c r="B3" s="18"/>
      <c r="C3" s="19"/>
      <c r="D3" s="45"/>
      <c r="E3" s="19"/>
      <c r="F3" s="20" t="s">
        <v>5</v>
      </c>
      <c r="G3" s="88" t="s">
        <v>6</v>
      </c>
      <c r="H3" s="88" t="s">
        <v>7</v>
      </c>
      <c r="I3" s="88" t="s">
        <v>8</v>
      </c>
      <c r="J3" s="89" t="s">
        <v>2</v>
      </c>
      <c r="K3" s="90" t="s">
        <v>3</v>
      </c>
      <c r="L3" s="90" t="s">
        <v>4</v>
      </c>
      <c r="M3" s="90" t="s">
        <v>5</v>
      </c>
      <c r="N3" s="90" t="s">
        <v>6</v>
      </c>
      <c r="O3" s="90" t="s">
        <v>7</v>
      </c>
      <c r="P3" s="90" t="s">
        <v>8</v>
      </c>
      <c r="Q3" s="90" t="s">
        <v>2</v>
      </c>
      <c r="R3" s="90" t="s">
        <v>3</v>
      </c>
      <c r="S3" s="90" t="s">
        <v>4</v>
      </c>
      <c r="T3" s="90" t="s">
        <v>5</v>
      </c>
      <c r="U3" s="91" t="s">
        <v>6</v>
      </c>
      <c r="V3" s="88" t="s">
        <v>7</v>
      </c>
      <c r="W3" s="88" t="s">
        <v>8</v>
      </c>
      <c r="X3" s="88" t="s">
        <v>2</v>
      </c>
      <c r="Y3" s="88" t="s">
        <v>3</v>
      </c>
      <c r="Z3" s="88" t="s">
        <v>4</v>
      </c>
      <c r="AA3" s="88" t="s">
        <v>5</v>
      </c>
      <c r="AB3" s="88" t="s">
        <v>6</v>
      </c>
      <c r="AC3" s="88" t="s">
        <v>7</v>
      </c>
      <c r="AD3" s="88" t="s">
        <v>8</v>
      </c>
      <c r="AE3" s="88" t="s">
        <v>2</v>
      </c>
      <c r="AF3" s="88" t="s">
        <v>3</v>
      </c>
      <c r="AG3" s="88" t="s">
        <v>4</v>
      </c>
      <c r="AH3" s="88" t="s">
        <v>5</v>
      </c>
      <c r="AI3" s="88" t="s">
        <v>6</v>
      </c>
      <c r="AJ3" s="88" t="s">
        <v>7</v>
      </c>
      <c r="AK3" s="20" t="s">
        <v>8</v>
      </c>
      <c r="AL3" s="79" t="s">
        <v>2</v>
      </c>
      <c r="AM3" s="79" t="s">
        <v>3</v>
      </c>
      <c r="AN3" s="79" t="s">
        <v>4</v>
      </c>
      <c r="AO3" s="79" t="s">
        <v>5</v>
      </c>
    </row>
    <row r="4" spans="1:75" x14ac:dyDescent="0.2">
      <c r="A4" s="21" t="s">
        <v>9</v>
      </c>
      <c r="B4" s="22" t="s">
        <v>10</v>
      </c>
      <c r="C4" s="44" t="s">
        <v>11</v>
      </c>
      <c r="D4" s="46" t="s">
        <v>12</v>
      </c>
      <c r="E4" s="42" t="s">
        <v>13</v>
      </c>
      <c r="F4" s="23">
        <v>46082</v>
      </c>
      <c r="G4" s="23">
        <v>46083</v>
      </c>
      <c r="H4" s="23">
        <v>46084</v>
      </c>
      <c r="I4" s="23">
        <v>46085</v>
      </c>
      <c r="J4" s="23">
        <v>46086</v>
      </c>
      <c r="K4" s="23">
        <v>46087</v>
      </c>
      <c r="L4" s="23">
        <v>46088</v>
      </c>
      <c r="M4" s="23">
        <v>46089</v>
      </c>
      <c r="N4" s="23">
        <v>46090</v>
      </c>
      <c r="O4" s="23">
        <v>46091</v>
      </c>
      <c r="P4" s="23">
        <v>46092</v>
      </c>
      <c r="Q4" s="23">
        <v>46093</v>
      </c>
      <c r="R4" s="23">
        <v>46094</v>
      </c>
      <c r="S4" s="23">
        <v>46095</v>
      </c>
      <c r="T4" s="23">
        <v>46096</v>
      </c>
      <c r="U4" s="23">
        <v>46097</v>
      </c>
      <c r="V4" s="23">
        <v>46098</v>
      </c>
      <c r="W4" s="23">
        <v>46099</v>
      </c>
      <c r="X4" s="23">
        <v>46100</v>
      </c>
      <c r="Y4" s="23">
        <v>46101</v>
      </c>
      <c r="Z4" s="23">
        <v>46102</v>
      </c>
      <c r="AA4" s="23">
        <v>46103</v>
      </c>
      <c r="AB4" s="23">
        <v>46104</v>
      </c>
      <c r="AC4" s="23">
        <v>46105</v>
      </c>
      <c r="AD4" s="23">
        <v>46106</v>
      </c>
      <c r="AE4" s="23">
        <v>46107</v>
      </c>
      <c r="AF4" s="23">
        <v>46108</v>
      </c>
      <c r="AG4" s="23">
        <v>46109</v>
      </c>
      <c r="AH4" s="23">
        <v>46110</v>
      </c>
      <c r="AI4" s="23">
        <v>46111</v>
      </c>
      <c r="AJ4" s="23">
        <v>46112</v>
      </c>
      <c r="AK4" s="23">
        <v>46113</v>
      </c>
      <c r="AL4" s="23">
        <v>46114</v>
      </c>
      <c r="AM4" s="23">
        <v>46115</v>
      </c>
      <c r="AN4" s="23">
        <v>46116</v>
      </c>
      <c r="AO4" s="23">
        <v>46117</v>
      </c>
    </row>
    <row r="5" spans="1:75" x14ac:dyDescent="0.2">
      <c r="A5" s="24">
        <v>1</v>
      </c>
      <c r="B5" s="25" t="s">
        <v>43</v>
      </c>
      <c r="C5" s="24" t="s">
        <v>75</v>
      </c>
      <c r="D5" s="24" t="s">
        <v>45</v>
      </c>
      <c r="E5" s="86">
        <v>938649420</v>
      </c>
      <c r="F5" s="63" t="s">
        <v>19</v>
      </c>
      <c r="G5" s="40" t="s">
        <v>0</v>
      </c>
      <c r="H5" s="40" t="s">
        <v>22</v>
      </c>
      <c r="I5" s="40" t="s">
        <v>19</v>
      </c>
      <c r="J5" s="40" t="s">
        <v>19</v>
      </c>
      <c r="K5" s="40" t="s">
        <v>18</v>
      </c>
      <c r="L5" s="63" t="s">
        <v>19</v>
      </c>
      <c r="M5" s="63" t="s">
        <v>18</v>
      </c>
      <c r="N5" s="40" t="s">
        <v>19</v>
      </c>
      <c r="O5" s="40" t="s">
        <v>0</v>
      </c>
      <c r="P5" s="40" t="s">
        <v>19</v>
      </c>
      <c r="Q5" s="40" t="s">
        <v>19</v>
      </c>
      <c r="R5" s="40" t="s">
        <v>18</v>
      </c>
      <c r="S5" s="63" t="s">
        <v>19</v>
      </c>
      <c r="T5" s="63" t="s">
        <v>18</v>
      </c>
      <c r="U5" s="40" t="s">
        <v>19</v>
      </c>
      <c r="V5" s="61" t="s">
        <v>0</v>
      </c>
      <c r="W5" s="73" t="s">
        <v>21</v>
      </c>
      <c r="X5" s="101" t="s">
        <v>71</v>
      </c>
      <c r="Y5" s="40" t="s">
        <v>19</v>
      </c>
      <c r="Z5" s="63" t="s">
        <v>19</v>
      </c>
      <c r="AA5" s="63" t="s">
        <v>19</v>
      </c>
      <c r="AB5" s="40" t="s">
        <v>0</v>
      </c>
      <c r="AC5" s="40" t="s">
        <v>19</v>
      </c>
      <c r="AD5" s="40" t="s">
        <v>19</v>
      </c>
      <c r="AE5" s="40" t="s">
        <v>18</v>
      </c>
      <c r="AF5" s="40" t="s">
        <v>19</v>
      </c>
      <c r="AG5" s="63" t="s">
        <v>18</v>
      </c>
      <c r="AH5" s="63" t="s">
        <v>18</v>
      </c>
      <c r="AI5" s="40" t="s">
        <v>0</v>
      </c>
      <c r="AJ5" s="40" t="s">
        <v>22</v>
      </c>
      <c r="AK5" s="40" t="s">
        <v>19</v>
      </c>
      <c r="AL5" s="40" t="s">
        <v>18</v>
      </c>
      <c r="AM5" s="40" t="s">
        <v>19</v>
      </c>
      <c r="AN5" s="63" t="s">
        <v>18</v>
      </c>
      <c r="AO5" s="63" t="s">
        <v>19</v>
      </c>
    </row>
    <row r="6" spans="1:75" ht="15" customHeight="1" x14ac:dyDescent="0.2">
      <c r="A6" s="24">
        <v>2</v>
      </c>
      <c r="B6" s="27" t="s">
        <v>79</v>
      </c>
      <c r="C6" s="68" t="s">
        <v>24</v>
      </c>
      <c r="D6" s="68" t="s">
        <v>80</v>
      </c>
      <c r="E6" s="87">
        <v>913108062</v>
      </c>
      <c r="F6" s="63" t="s">
        <v>18</v>
      </c>
      <c r="G6" s="40" t="s">
        <v>19</v>
      </c>
      <c r="H6" s="40" t="s">
        <v>19</v>
      </c>
      <c r="I6" s="40" t="s">
        <v>18</v>
      </c>
      <c r="J6" s="40" t="s">
        <v>0</v>
      </c>
      <c r="K6" s="40" t="s">
        <v>19</v>
      </c>
      <c r="L6" s="63" t="s">
        <v>18</v>
      </c>
      <c r="M6" s="63" t="s">
        <v>19</v>
      </c>
      <c r="N6" s="40" t="s">
        <v>0</v>
      </c>
      <c r="O6" s="40" t="s">
        <v>19</v>
      </c>
      <c r="P6" s="40" t="s">
        <v>18</v>
      </c>
      <c r="Q6" s="40" t="s">
        <v>18</v>
      </c>
      <c r="R6" s="40" t="s">
        <v>19</v>
      </c>
      <c r="S6" s="63" t="s">
        <v>18</v>
      </c>
      <c r="T6" s="63" t="s">
        <v>19</v>
      </c>
      <c r="U6" s="40" t="s">
        <v>0</v>
      </c>
      <c r="V6" s="40" t="s">
        <v>19</v>
      </c>
      <c r="W6" s="40" t="s">
        <v>19</v>
      </c>
      <c r="X6" s="40" t="s">
        <v>19</v>
      </c>
      <c r="Y6" s="40" t="s">
        <v>18</v>
      </c>
      <c r="Z6" s="63" t="s">
        <v>18</v>
      </c>
      <c r="AA6" s="63" t="s">
        <v>18</v>
      </c>
      <c r="AB6" s="40" t="s">
        <v>19</v>
      </c>
      <c r="AC6" s="40" t="s">
        <v>0</v>
      </c>
      <c r="AD6" s="40" t="s">
        <v>18</v>
      </c>
      <c r="AE6" s="40" t="s">
        <v>21</v>
      </c>
      <c r="AF6" s="40" t="s">
        <v>18</v>
      </c>
      <c r="AG6" s="63" t="s">
        <v>19</v>
      </c>
      <c r="AH6" s="63" t="s">
        <v>19</v>
      </c>
      <c r="AI6" s="40" t="s">
        <v>18</v>
      </c>
      <c r="AJ6" s="40" t="s">
        <v>19</v>
      </c>
      <c r="AK6" s="40" t="s">
        <v>18</v>
      </c>
      <c r="AL6" s="40" t="s">
        <v>0</v>
      </c>
      <c r="AM6" s="40" t="s">
        <v>18</v>
      </c>
      <c r="AN6" s="63" t="s">
        <v>19</v>
      </c>
      <c r="AO6" s="63" t="s">
        <v>18</v>
      </c>
    </row>
    <row r="7" spans="1:75" ht="15" customHeight="1" x14ac:dyDescent="0.2">
      <c r="A7" s="24">
        <v>2</v>
      </c>
      <c r="B7" s="27" t="s">
        <v>104</v>
      </c>
      <c r="C7" s="68" t="s">
        <v>24</v>
      </c>
      <c r="D7" s="68" t="s">
        <v>105</v>
      </c>
      <c r="E7" s="87" t="s">
        <v>103</v>
      </c>
      <c r="F7" s="63"/>
      <c r="G7" s="40"/>
      <c r="H7" s="40"/>
      <c r="I7" s="40"/>
      <c r="J7" s="40"/>
      <c r="K7" s="40"/>
      <c r="L7" s="63"/>
      <c r="M7" s="63"/>
      <c r="N7" s="40"/>
      <c r="O7" s="40"/>
      <c r="P7" s="40"/>
      <c r="Q7" s="40"/>
      <c r="R7" s="40"/>
      <c r="S7" s="63"/>
      <c r="T7" s="63"/>
      <c r="U7" s="40"/>
      <c r="V7" s="40"/>
      <c r="W7" s="40"/>
      <c r="X7" s="40"/>
      <c r="Y7" s="40"/>
      <c r="Z7" s="63"/>
      <c r="AA7" s="63"/>
      <c r="AB7" s="40"/>
      <c r="AC7" s="40"/>
      <c r="AD7" s="40" t="s">
        <v>19</v>
      </c>
      <c r="AE7" s="40" t="s">
        <v>18</v>
      </c>
      <c r="AF7" s="40" t="s">
        <v>19</v>
      </c>
      <c r="AG7" s="63" t="s">
        <v>19</v>
      </c>
      <c r="AH7" s="63" t="s">
        <v>18</v>
      </c>
      <c r="AI7" s="40" t="s">
        <v>19</v>
      </c>
      <c r="AJ7" s="40" t="s">
        <v>18</v>
      </c>
      <c r="AK7" s="40" t="s">
        <v>0</v>
      </c>
      <c r="AL7" s="40" t="s">
        <v>19</v>
      </c>
      <c r="AM7" s="40" t="s">
        <v>19</v>
      </c>
      <c r="AN7" s="63" t="s">
        <v>18</v>
      </c>
      <c r="AO7" s="63" t="s">
        <v>19</v>
      </c>
    </row>
    <row r="8" spans="1:75" x14ac:dyDescent="0.2">
      <c r="A8" s="24">
        <v>3</v>
      </c>
      <c r="B8" s="27" t="s">
        <v>38</v>
      </c>
      <c r="C8" s="28" t="s">
        <v>31</v>
      </c>
      <c r="D8" s="28" t="s">
        <v>39</v>
      </c>
      <c r="E8" s="86">
        <v>853398005</v>
      </c>
      <c r="F8" s="40" t="s">
        <v>0</v>
      </c>
      <c r="G8" s="40" t="s">
        <v>66</v>
      </c>
      <c r="H8" s="40" t="s">
        <v>36</v>
      </c>
      <c r="I8" s="40" t="s">
        <v>66</v>
      </c>
      <c r="J8" s="40" t="s">
        <v>0</v>
      </c>
      <c r="K8" s="40" t="s">
        <v>0</v>
      </c>
      <c r="L8" s="63" t="s">
        <v>42</v>
      </c>
      <c r="M8" s="63" t="s">
        <v>42</v>
      </c>
      <c r="N8" s="40" t="s">
        <v>35</v>
      </c>
      <c r="O8" s="40" t="s">
        <v>36</v>
      </c>
      <c r="P8" s="40" t="s">
        <v>66</v>
      </c>
      <c r="Q8" s="40" t="s">
        <v>35</v>
      </c>
      <c r="R8" s="40" t="s">
        <v>42</v>
      </c>
      <c r="S8" s="63" t="s">
        <v>47</v>
      </c>
      <c r="T8" s="63" t="s">
        <v>42</v>
      </c>
      <c r="U8" s="40" t="s">
        <v>0</v>
      </c>
      <c r="V8" s="40" t="s">
        <v>36</v>
      </c>
      <c r="W8" s="40" t="s">
        <v>92</v>
      </c>
      <c r="X8" s="40" t="s">
        <v>92</v>
      </c>
      <c r="Y8" s="40" t="s">
        <v>36</v>
      </c>
      <c r="Z8" s="63" t="s">
        <v>0</v>
      </c>
      <c r="AA8" s="63" t="s">
        <v>93</v>
      </c>
      <c r="AB8" s="40" t="s">
        <v>36</v>
      </c>
      <c r="AC8" s="40" t="s">
        <v>0</v>
      </c>
      <c r="AD8" s="40" t="s">
        <v>92</v>
      </c>
      <c r="AE8" s="40" t="s">
        <v>0</v>
      </c>
      <c r="AF8" s="40" t="s">
        <v>36</v>
      </c>
      <c r="AG8" s="63" t="s">
        <v>92</v>
      </c>
      <c r="AH8" s="63" t="s">
        <v>34</v>
      </c>
      <c r="AI8" s="40" t="s">
        <v>0</v>
      </c>
      <c r="AJ8" s="40" t="s">
        <v>0</v>
      </c>
      <c r="AK8" s="40" t="s">
        <v>92</v>
      </c>
      <c r="AL8" s="40" t="s">
        <v>34</v>
      </c>
      <c r="AM8" s="40" t="s">
        <v>41</v>
      </c>
      <c r="AN8" s="63" t="s">
        <v>34</v>
      </c>
      <c r="AO8" s="63" t="s">
        <v>0</v>
      </c>
      <c r="BW8" t="s">
        <v>84</v>
      </c>
    </row>
    <row r="9" spans="1:75" x14ac:dyDescent="0.2">
      <c r="A9" s="24">
        <v>4</v>
      </c>
      <c r="B9" s="27" t="s">
        <v>48</v>
      </c>
      <c r="C9" s="28" t="s">
        <v>31</v>
      </c>
      <c r="D9" s="28" t="s">
        <v>83</v>
      </c>
      <c r="E9" s="86">
        <v>823777977</v>
      </c>
      <c r="F9" s="63" t="s">
        <v>34</v>
      </c>
      <c r="G9" s="40" t="s">
        <v>36</v>
      </c>
      <c r="H9" s="40" t="s">
        <v>35</v>
      </c>
      <c r="I9" s="40" t="s">
        <v>0</v>
      </c>
      <c r="J9" s="40" t="s">
        <v>35</v>
      </c>
      <c r="K9" s="40" t="s">
        <v>49</v>
      </c>
      <c r="L9" s="63" t="s">
        <v>35</v>
      </c>
      <c r="M9" s="63" t="s">
        <v>35</v>
      </c>
      <c r="N9" s="92" t="s">
        <v>91</v>
      </c>
      <c r="O9" s="40" t="s">
        <v>35</v>
      </c>
      <c r="P9" s="40" t="s">
        <v>0</v>
      </c>
      <c r="Q9" s="40" t="s">
        <v>35</v>
      </c>
      <c r="R9" s="40" t="s">
        <v>66</v>
      </c>
      <c r="S9" s="63" t="s">
        <v>0</v>
      </c>
      <c r="T9" s="63" t="s">
        <v>35</v>
      </c>
      <c r="U9" s="40" t="s">
        <v>93</v>
      </c>
      <c r="V9" s="40" t="s">
        <v>93</v>
      </c>
      <c r="W9" s="40" t="s">
        <v>93</v>
      </c>
      <c r="X9" s="40" t="s">
        <v>93</v>
      </c>
      <c r="Y9" s="40" t="s">
        <v>34</v>
      </c>
      <c r="Z9" s="63" t="s">
        <v>93</v>
      </c>
      <c r="AA9" s="63" t="s">
        <v>0</v>
      </c>
      <c r="AB9" s="40" t="s">
        <v>93</v>
      </c>
      <c r="AC9" s="40" t="s">
        <v>94</v>
      </c>
      <c r="AD9" s="40" t="s">
        <v>93</v>
      </c>
      <c r="AE9" s="40" t="s">
        <v>34</v>
      </c>
      <c r="AF9" s="40" t="s">
        <v>37</v>
      </c>
      <c r="AG9" s="63" t="s">
        <v>37</v>
      </c>
      <c r="AH9" s="63" t="s">
        <v>0</v>
      </c>
      <c r="AI9" s="40" t="s">
        <v>94</v>
      </c>
      <c r="AJ9" s="40" t="s">
        <v>93</v>
      </c>
      <c r="AK9" s="40" t="s">
        <v>0</v>
      </c>
      <c r="AL9" s="40" t="s">
        <v>93</v>
      </c>
      <c r="AM9" s="40" t="s">
        <v>0</v>
      </c>
      <c r="AN9" s="63" t="s">
        <v>93</v>
      </c>
      <c r="AO9" s="63" t="s">
        <v>93</v>
      </c>
    </row>
    <row r="10" spans="1:75" ht="13.5" customHeight="1" x14ac:dyDescent="0.2">
      <c r="A10" s="24">
        <v>5</v>
      </c>
      <c r="B10" s="27" t="s">
        <v>85</v>
      </c>
      <c r="C10" s="28" t="s">
        <v>31</v>
      </c>
      <c r="D10" s="68" t="s">
        <v>86</v>
      </c>
      <c r="E10" s="86">
        <v>347690368</v>
      </c>
      <c r="F10" s="63" t="s">
        <v>47</v>
      </c>
      <c r="G10" s="40" t="s">
        <v>35</v>
      </c>
      <c r="H10" s="40" t="s">
        <v>0</v>
      </c>
      <c r="I10" s="40" t="s">
        <v>35</v>
      </c>
      <c r="J10" s="40" t="s">
        <v>35</v>
      </c>
      <c r="K10" s="40" t="s">
        <v>47</v>
      </c>
      <c r="L10" s="63" t="s">
        <v>0</v>
      </c>
      <c r="M10" s="63" t="s">
        <v>34</v>
      </c>
      <c r="N10" s="40" t="s">
        <v>0</v>
      </c>
      <c r="O10" s="40" t="s">
        <v>0</v>
      </c>
      <c r="P10" s="40" t="s">
        <v>0</v>
      </c>
      <c r="Q10" s="40" t="s">
        <v>0</v>
      </c>
      <c r="R10" s="40" t="s">
        <v>35</v>
      </c>
      <c r="S10" s="63" t="s">
        <v>47</v>
      </c>
      <c r="T10" s="63" t="s">
        <v>36</v>
      </c>
      <c r="U10" s="40" t="s">
        <v>94</v>
      </c>
      <c r="V10" s="40" t="s">
        <v>0</v>
      </c>
      <c r="W10" s="40" t="s">
        <v>0</v>
      </c>
      <c r="X10" s="40" t="s">
        <v>94</v>
      </c>
      <c r="Y10" s="40" t="s">
        <v>93</v>
      </c>
      <c r="Z10" s="63" t="s">
        <v>94</v>
      </c>
      <c r="AA10" s="63" t="s">
        <v>94</v>
      </c>
      <c r="AB10" s="40" t="s">
        <v>0</v>
      </c>
      <c r="AC10" s="40" t="s">
        <v>92</v>
      </c>
      <c r="AD10" s="40" t="s">
        <v>0</v>
      </c>
      <c r="AE10" s="40" t="s">
        <v>41</v>
      </c>
      <c r="AF10" s="40" t="s">
        <v>92</v>
      </c>
      <c r="AG10" s="63" t="s">
        <v>36</v>
      </c>
      <c r="AH10" s="63" t="s">
        <v>41</v>
      </c>
      <c r="AI10" s="40" t="s">
        <v>92</v>
      </c>
      <c r="AJ10" s="40" t="s">
        <v>0</v>
      </c>
      <c r="AK10" s="40" t="s">
        <v>93</v>
      </c>
      <c r="AL10" s="40" t="s">
        <v>0</v>
      </c>
      <c r="AM10" s="40" t="s">
        <v>92</v>
      </c>
      <c r="AN10" s="63" t="s">
        <v>41</v>
      </c>
      <c r="AO10" s="63" t="s">
        <v>0</v>
      </c>
    </row>
    <row r="11" spans="1:75" x14ac:dyDescent="0.2">
      <c r="A11" s="24">
        <v>6</v>
      </c>
      <c r="B11" s="27" t="s">
        <v>102</v>
      </c>
      <c r="C11" s="28" t="s">
        <v>31</v>
      </c>
      <c r="D11" s="68" t="s">
        <v>106</v>
      </c>
      <c r="E11" s="109" t="s">
        <v>107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40" t="s">
        <v>94</v>
      </c>
      <c r="V11" s="40" t="s">
        <v>94</v>
      </c>
      <c r="W11" s="40" t="s">
        <v>94</v>
      </c>
      <c r="X11" s="40" t="s">
        <v>41</v>
      </c>
      <c r="Y11" s="40" t="s">
        <v>0</v>
      </c>
      <c r="Z11" s="63" t="s">
        <v>94</v>
      </c>
      <c r="AA11" s="63" t="s">
        <v>94</v>
      </c>
      <c r="AB11" s="40" t="s">
        <v>92</v>
      </c>
      <c r="AC11" s="40" t="s">
        <v>93</v>
      </c>
      <c r="AD11" s="40" t="s">
        <v>0</v>
      </c>
      <c r="AE11" s="40" t="s">
        <v>94</v>
      </c>
      <c r="AF11" s="40" t="s">
        <v>93</v>
      </c>
      <c r="AG11" s="63" t="s">
        <v>94</v>
      </c>
      <c r="AH11" s="63" t="s">
        <v>94</v>
      </c>
      <c r="AI11" s="40" t="s">
        <v>41</v>
      </c>
      <c r="AJ11" s="40" t="s">
        <v>94</v>
      </c>
      <c r="AK11" s="40" t="s">
        <v>0</v>
      </c>
      <c r="AL11" s="40" t="s">
        <v>0</v>
      </c>
      <c r="AM11" s="40" t="s">
        <v>93</v>
      </c>
      <c r="AN11" s="63" t="s">
        <v>0</v>
      </c>
      <c r="AO11" s="63" t="s">
        <v>94</v>
      </c>
    </row>
    <row r="12" spans="1:75" s="48" customFormat="1" ht="15" customHeight="1" x14ac:dyDescent="0.2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</row>
    <row r="13" spans="1:75" s="48" customFormat="1" ht="15" customHeight="1" x14ac:dyDescent="0.2">
      <c r="A13" s="107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</row>
    <row r="14" spans="1:75" ht="18" customHeight="1" x14ac:dyDescent="0.3">
      <c r="A14" s="104" t="s">
        <v>51</v>
      </c>
      <c r="B14" s="93" t="s">
        <v>95</v>
      </c>
      <c r="C14" s="94" t="s">
        <v>19</v>
      </c>
      <c r="D14" s="95" t="s">
        <v>96</v>
      </c>
      <c r="E14" s="96"/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96">
        <v>0</v>
      </c>
      <c r="N14" s="96">
        <f>COUNTIF(O5:O11,"A")</f>
        <v>1</v>
      </c>
      <c r="O14" s="96">
        <f>COUNTIF(O5:O11,"A")</f>
        <v>1</v>
      </c>
      <c r="P14" s="96">
        <v>0</v>
      </c>
      <c r="Q14" s="96">
        <v>0</v>
      </c>
      <c r="R14" s="96">
        <v>0</v>
      </c>
      <c r="S14" s="96">
        <v>0</v>
      </c>
      <c r="T14" s="96">
        <v>0</v>
      </c>
      <c r="U14" s="96">
        <v>0</v>
      </c>
      <c r="V14" s="96">
        <v>0</v>
      </c>
      <c r="W14" s="96">
        <v>0</v>
      </c>
      <c r="X14" s="96">
        <v>0</v>
      </c>
      <c r="Y14" s="96">
        <v>0</v>
      </c>
      <c r="Z14" s="96">
        <v>0</v>
      </c>
      <c r="AA14" s="96">
        <v>0</v>
      </c>
      <c r="AB14" s="96">
        <v>0</v>
      </c>
      <c r="AC14" s="96">
        <v>0</v>
      </c>
      <c r="AD14" s="96">
        <v>0</v>
      </c>
      <c r="AE14" s="96">
        <v>0</v>
      </c>
      <c r="AF14" s="96">
        <v>0</v>
      </c>
      <c r="AG14" s="96">
        <v>0</v>
      </c>
      <c r="AH14" s="96">
        <v>0</v>
      </c>
      <c r="AI14" s="96">
        <v>0</v>
      </c>
      <c r="AJ14" s="96">
        <v>0</v>
      </c>
    </row>
    <row r="15" spans="1:75" ht="18.75" x14ac:dyDescent="0.3">
      <c r="A15" s="105"/>
      <c r="B15" s="93" t="s">
        <v>97</v>
      </c>
      <c r="C15" s="94" t="s">
        <v>18</v>
      </c>
      <c r="D15" s="95" t="s">
        <v>96</v>
      </c>
      <c r="E15" s="96"/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96">
        <v>0</v>
      </c>
      <c r="N15" s="96">
        <v>0</v>
      </c>
      <c r="O15" s="96">
        <f>COUNTIF(O6:O12,"b")</f>
        <v>0</v>
      </c>
      <c r="P15" s="96">
        <v>0</v>
      </c>
      <c r="Q15" s="96">
        <v>0</v>
      </c>
      <c r="R15" s="96">
        <v>0</v>
      </c>
      <c r="S15" s="96">
        <v>0</v>
      </c>
      <c r="T15" s="96">
        <v>0</v>
      </c>
      <c r="U15" s="96">
        <v>0</v>
      </c>
      <c r="V15" s="96">
        <v>0</v>
      </c>
      <c r="W15" s="96">
        <v>0</v>
      </c>
      <c r="X15" s="96">
        <v>0</v>
      </c>
      <c r="Y15" s="96">
        <v>0</v>
      </c>
      <c r="Z15" s="96">
        <v>0</v>
      </c>
      <c r="AA15" s="96">
        <v>0</v>
      </c>
      <c r="AB15" s="96">
        <v>0</v>
      </c>
      <c r="AC15" s="96">
        <v>0</v>
      </c>
      <c r="AD15" s="96">
        <v>0</v>
      </c>
      <c r="AE15" s="96">
        <v>0</v>
      </c>
      <c r="AF15" s="96">
        <v>0</v>
      </c>
      <c r="AG15" s="96">
        <v>0</v>
      </c>
      <c r="AH15" s="96">
        <v>0</v>
      </c>
      <c r="AI15" s="96">
        <v>0</v>
      </c>
      <c r="AJ15" s="96">
        <v>0</v>
      </c>
    </row>
    <row r="16" spans="1:75" ht="18.75" x14ac:dyDescent="0.3">
      <c r="A16" s="105"/>
      <c r="B16" s="93" t="s">
        <v>98</v>
      </c>
      <c r="C16" s="94" t="s">
        <v>22</v>
      </c>
      <c r="D16" s="95" t="s">
        <v>96</v>
      </c>
      <c r="E16" s="96"/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f t="shared" ref="O16:O26" si="0">COUNTIF(O8:O13,"A")</f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96">
        <v>0</v>
      </c>
      <c r="Z16" s="96">
        <v>0</v>
      </c>
      <c r="AA16" s="96">
        <v>0</v>
      </c>
      <c r="AB16" s="96">
        <v>0</v>
      </c>
      <c r="AC16" s="96">
        <v>0</v>
      </c>
      <c r="AD16" s="96">
        <v>0</v>
      </c>
      <c r="AE16" s="96">
        <v>0</v>
      </c>
      <c r="AF16" s="96">
        <v>0</v>
      </c>
      <c r="AG16" s="96">
        <v>0</v>
      </c>
      <c r="AH16" s="96">
        <v>0</v>
      </c>
      <c r="AI16" s="96">
        <v>0</v>
      </c>
      <c r="AJ16" s="96">
        <v>0</v>
      </c>
    </row>
    <row r="17" spans="1:36" ht="18.75" x14ac:dyDescent="0.3">
      <c r="A17" s="105"/>
      <c r="B17" s="93" t="s">
        <v>99</v>
      </c>
      <c r="C17" s="94" t="s">
        <v>34</v>
      </c>
      <c r="D17" s="97" t="s">
        <v>100</v>
      </c>
      <c r="E17" s="96"/>
      <c r="F17" s="96">
        <v>0</v>
      </c>
      <c r="G17" s="96">
        <v>0</v>
      </c>
      <c r="H17" s="96">
        <v>0</v>
      </c>
      <c r="I17" s="96">
        <v>0</v>
      </c>
      <c r="J17" s="96">
        <v>0</v>
      </c>
      <c r="K17" s="96">
        <v>0</v>
      </c>
      <c r="L17" s="96">
        <v>0</v>
      </c>
      <c r="M17" s="96">
        <v>0</v>
      </c>
      <c r="N17" s="96">
        <v>0</v>
      </c>
      <c r="O17" s="96">
        <f t="shared" si="0"/>
        <v>0</v>
      </c>
      <c r="P17" s="96">
        <v>0</v>
      </c>
      <c r="Q17" s="96">
        <v>0</v>
      </c>
      <c r="R17" s="96">
        <v>0</v>
      </c>
      <c r="S17" s="96">
        <v>0</v>
      </c>
      <c r="T17" s="96">
        <v>0</v>
      </c>
      <c r="U17" s="96">
        <v>0</v>
      </c>
      <c r="V17" s="96">
        <v>0</v>
      </c>
      <c r="W17" s="96">
        <v>0</v>
      </c>
      <c r="X17" s="96">
        <v>0</v>
      </c>
      <c r="Y17" s="96">
        <v>0</v>
      </c>
      <c r="Z17" s="96">
        <v>0</v>
      </c>
      <c r="AA17" s="96">
        <v>0</v>
      </c>
      <c r="AB17" s="96">
        <v>0</v>
      </c>
      <c r="AC17" s="96">
        <v>0</v>
      </c>
      <c r="AD17" s="96">
        <v>0</v>
      </c>
      <c r="AE17" s="96">
        <v>0</v>
      </c>
      <c r="AF17" s="96">
        <v>0</v>
      </c>
      <c r="AG17" s="96">
        <v>0</v>
      </c>
      <c r="AH17" s="96">
        <v>0</v>
      </c>
      <c r="AI17" s="96">
        <v>0</v>
      </c>
      <c r="AJ17" s="96">
        <v>0</v>
      </c>
    </row>
    <row r="18" spans="1:36" ht="18.75" x14ac:dyDescent="0.3">
      <c r="A18" s="105"/>
      <c r="B18" s="93" t="s">
        <v>53</v>
      </c>
      <c r="C18" s="94" t="s">
        <v>41</v>
      </c>
      <c r="D18" s="97" t="s">
        <v>100</v>
      </c>
      <c r="E18" s="96"/>
      <c r="F18" s="96">
        <v>0</v>
      </c>
      <c r="G18" s="96">
        <v>0</v>
      </c>
      <c r="H18" s="96">
        <v>0</v>
      </c>
      <c r="I18" s="96">
        <v>0</v>
      </c>
      <c r="J18" s="96">
        <v>0</v>
      </c>
      <c r="K18" s="96">
        <v>0</v>
      </c>
      <c r="L18" s="96">
        <v>0</v>
      </c>
      <c r="M18" s="96">
        <v>0</v>
      </c>
      <c r="N18" s="96">
        <v>0</v>
      </c>
      <c r="O18" s="96">
        <f t="shared" si="0"/>
        <v>0</v>
      </c>
      <c r="P18" s="96">
        <v>0</v>
      </c>
      <c r="Q18" s="96">
        <v>0</v>
      </c>
      <c r="R18" s="96">
        <v>0</v>
      </c>
      <c r="S18" s="96">
        <v>0</v>
      </c>
      <c r="T18" s="96">
        <v>0</v>
      </c>
      <c r="U18" s="96">
        <v>0</v>
      </c>
      <c r="V18" s="96">
        <v>0</v>
      </c>
      <c r="W18" s="96">
        <v>0</v>
      </c>
      <c r="X18" s="96">
        <v>0</v>
      </c>
      <c r="Y18" s="96">
        <v>0</v>
      </c>
      <c r="Z18" s="96">
        <v>0</v>
      </c>
      <c r="AA18" s="96">
        <v>0</v>
      </c>
      <c r="AB18" s="96">
        <v>0</v>
      </c>
      <c r="AC18" s="96">
        <v>0</v>
      </c>
      <c r="AD18" s="96">
        <v>0</v>
      </c>
      <c r="AE18" s="96">
        <v>0</v>
      </c>
      <c r="AF18" s="96">
        <v>0</v>
      </c>
      <c r="AG18" s="96">
        <v>0</v>
      </c>
      <c r="AH18" s="96">
        <v>0</v>
      </c>
      <c r="AI18" s="96">
        <v>0</v>
      </c>
      <c r="AJ18" s="96">
        <v>0</v>
      </c>
    </row>
    <row r="19" spans="1:36" ht="18.75" x14ac:dyDescent="0.3">
      <c r="A19" s="105"/>
      <c r="B19" s="93" t="s">
        <v>101</v>
      </c>
      <c r="C19" s="94" t="s">
        <v>37</v>
      </c>
      <c r="D19" s="97" t="s">
        <v>100</v>
      </c>
      <c r="E19" s="96"/>
      <c r="F19" s="96">
        <v>0</v>
      </c>
      <c r="G19" s="96">
        <v>0</v>
      </c>
      <c r="H19" s="96">
        <v>0</v>
      </c>
      <c r="I19" s="96">
        <v>0</v>
      </c>
      <c r="J19" s="96">
        <v>0</v>
      </c>
      <c r="K19" s="96">
        <v>0</v>
      </c>
      <c r="L19" s="96">
        <v>0</v>
      </c>
      <c r="M19" s="96">
        <v>0</v>
      </c>
      <c r="N19" s="96">
        <v>0</v>
      </c>
      <c r="O19" s="96">
        <f t="shared" si="0"/>
        <v>0</v>
      </c>
      <c r="P19" s="96">
        <v>0</v>
      </c>
      <c r="Q19" s="96">
        <v>0</v>
      </c>
      <c r="R19" s="96">
        <v>0</v>
      </c>
      <c r="S19" s="96">
        <v>0</v>
      </c>
      <c r="T19" s="96">
        <v>0</v>
      </c>
      <c r="U19" s="96">
        <v>0</v>
      </c>
      <c r="V19" s="96">
        <v>0</v>
      </c>
      <c r="W19" s="96">
        <v>0</v>
      </c>
      <c r="X19" s="96">
        <v>0</v>
      </c>
      <c r="Y19" s="96">
        <v>0</v>
      </c>
      <c r="Z19" s="96">
        <v>0</v>
      </c>
      <c r="AA19" s="96">
        <v>0</v>
      </c>
      <c r="AB19" s="96">
        <v>0</v>
      </c>
      <c r="AC19" s="96">
        <v>0</v>
      </c>
      <c r="AD19" s="96">
        <v>0</v>
      </c>
      <c r="AE19" s="96">
        <v>0</v>
      </c>
      <c r="AF19" s="96">
        <v>0</v>
      </c>
      <c r="AG19" s="96">
        <v>0</v>
      </c>
      <c r="AH19" s="96">
        <v>0</v>
      </c>
      <c r="AI19" s="96">
        <v>0</v>
      </c>
      <c r="AJ19" s="96">
        <v>0</v>
      </c>
    </row>
    <row r="20" spans="1:36" ht="18.75" x14ac:dyDescent="0.3">
      <c r="A20" s="105"/>
      <c r="B20" s="93" t="s">
        <v>58</v>
      </c>
      <c r="C20" s="94" t="s">
        <v>36</v>
      </c>
      <c r="D20" s="97" t="s">
        <v>100</v>
      </c>
      <c r="E20" s="96"/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96">
        <v>0</v>
      </c>
      <c r="N20" s="96">
        <v>0</v>
      </c>
      <c r="O20" s="96">
        <f t="shared" si="0"/>
        <v>0</v>
      </c>
      <c r="P20" s="96">
        <v>0</v>
      </c>
      <c r="Q20" s="96">
        <v>0</v>
      </c>
      <c r="R20" s="96">
        <v>0</v>
      </c>
      <c r="S20" s="96">
        <v>0</v>
      </c>
      <c r="T20" s="96">
        <v>0</v>
      </c>
      <c r="U20" s="96">
        <v>0</v>
      </c>
      <c r="V20" s="96">
        <v>0</v>
      </c>
      <c r="W20" s="96">
        <v>0</v>
      </c>
      <c r="X20" s="96">
        <v>0</v>
      </c>
      <c r="Y20" s="96">
        <v>0</v>
      </c>
      <c r="Z20" s="96">
        <v>0</v>
      </c>
      <c r="AA20" s="96">
        <v>0</v>
      </c>
      <c r="AB20" s="96">
        <v>0</v>
      </c>
      <c r="AC20" s="96">
        <v>0</v>
      </c>
      <c r="AD20" s="96">
        <v>0</v>
      </c>
      <c r="AE20" s="96">
        <v>0</v>
      </c>
      <c r="AF20" s="96">
        <v>0</v>
      </c>
      <c r="AG20" s="96">
        <v>0</v>
      </c>
      <c r="AH20" s="96">
        <v>0</v>
      </c>
      <c r="AI20" s="96">
        <v>0</v>
      </c>
      <c r="AJ20" s="96">
        <v>0</v>
      </c>
    </row>
    <row r="21" spans="1:36" ht="18.75" x14ac:dyDescent="0.3">
      <c r="A21" s="105"/>
      <c r="B21" s="93" t="s">
        <v>61</v>
      </c>
      <c r="C21" s="94" t="s">
        <v>94</v>
      </c>
      <c r="D21" s="97" t="s">
        <v>100</v>
      </c>
      <c r="E21" s="96"/>
      <c r="F21" s="96">
        <v>0</v>
      </c>
      <c r="G21" s="96">
        <v>0</v>
      </c>
      <c r="H21" s="96">
        <v>0</v>
      </c>
      <c r="I21" s="96">
        <v>0</v>
      </c>
      <c r="J21" s="96">
        <v>0</v>
      </c>
      <c r="K21" s="96">
        <v>0</v>
      </c>
      <c r="L21" s="96">
        <v>0</v>
      </c>
      <c r="M21" s="96">
        <v>0</v>
      </c>
      <c r="N21" s="96">
        <v>0</v>
      </c>
      <c r="O21" s="96">
        <f t="shared" si="0"/>
        <v>0</v>
      </c>
      <c r="P21" s="96">
        <v>0</v>
      </c>
      <c r="Q21" s="96">
        <v>0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96">
        <v>0</v>
      </c>
      <c r="Z21" s="96">
        <v>0</v>
      </c>
      <c r="AA21" s="96">
        <v>0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</v>
      </c>
      <c r="AH21" s="96">
        <v>0</v>
      </c>
      <c r="AI21" s="96">
        <v>0</v>
      </c>
      <c r="AJ21" s="96">
        <v>0</v>
      </c>
    </row>
    <row r="22" spans="1:36" ht="18.75" x14ac:dyDescent="0.3">
      <c r="A22" s="105"/>
      <c r="B22" s="93" t="s">
        <v>65</v>
      </c>
      <c r="C22" s="94" t="s">
        <v>92</v>
      </c>
      <c r="D22" s="97" t="s">
        <v>100</v>
      </c>
      <c r="E22" s="96"/>
      <c r="F22" s="96">
        <v>0</v>
      </c>
      <c r="G22" s="96">
        <v>0</v>
      </c>
      <c r="H22" s="96">
        <v>0</v>
      </c>
      <c r="I22" s="96">
        <v>0</v>
      </c>
      <c r="J22" s="96">
        <v>0</v>
      </c>
      <c r="K22" s="96">
        <v>0</v>
      </c>
      <c r="L22" s="96">
        <v>0</v>
      </c>
      <c r="M22" s="96">
        <v>0</v>
      </c>
      <c r="N22" s="96">
        <v>0</v>
      </c>
      <c r="O22" s="96">
        <f t="shared" si="0"/>
        <v>0</v>
      </c>
      <c r="P22" s="96">
        <v>0</v>
      </c>
      <c r="Q22" s="96">
        <v>0</v>
      </c>
      <c r="R22" s="96">
        <v>0</v>
      </c>
      <c r="S22" s="96">
        <v>0</v>
      </c>
      <c r="T22" s="96">
        <v>0</v>
      </c>
      <c r="U22" s="96">
        <v>0</v>
      </c>
      <c r="V22" s="96">
        <v>0</v>
      </c>
      <c r="W22" s="96">
        <v>0</v>
      </c>
      <c r="X22" s="96">
        <v>0</v>
      </c>
      <c r="Y22" s="96">
        <v>0</v>
      </c>
      <c r="Z22" s="96">
        <v>0</v>
      </c>
      <c r="AA22" s="96">
        <v>0</v>
      </c>
      <c r="AB22" s="96">
        <v>0</v>
      </c>
      <c r="AC22" s="96">
        <v>0</v>
      </c>
      <c r="AD22" s="96">
        <v>0</v>
      </c>
      <c r="AE22" s="96">
        <v>0</v>
      </c>
      <c r="AF22" s="96">
        <v>0</v>
      </c>
      <c r="AG22" s="96">
        <v>0</v>
      </c>
      <c r="AH22" s="96">
        <v>0</v>
      </c>
      <c r="AI22" s="96">
        <v>0</v>
      </c>
      <c r="AJ22" s="96">
        <v>0</v>
      </c>
    </row>
    <row r="23" spans="1:36" ht="18.75" x14ac:dyDescent="0.3">
      <c r="A23" s="105"/>
      <c r="B23" s="93" t="s">
        <v>67</v>
      </c>
      <c r="C23" s="94" t="s">
        <v>93</v>
      </c>
      <c r="D23" s="97" t="s">
        <v>100</v>
      </c>
      <c r="E23" s="96"/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f t="shared" si="0"/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0</v>
      </c>
      <c r="Z23" s="96">
        <v>0</v>
      </c>
      <c r="AA23" s="96">
        <v>0</v>
      </c>
      <c r="AB23" s="96">
        <v>0</v>
      </c>
      <c r="AC23" s="96">
        <v>0</v>
      </c>
      <c r="AD23" s="96">
        <v>0</v>
      </c>
      <c r="AE23" s="96">
        <v>0</v>
      </c>
      <c r="AF23" s="96">
        <v>0</v>
      </c>
      <c r="AG23" s="96">
        <v>0</v>
      </c>
      <c r="AH23" s="96">
        <v>0</v>
      </c>
      <c r="AI23" s="96">
        <v>0</v>
      </c>
      <c r="AJ23" s="96">
        <v>0</v>
      </c>
    </row>
    <row r="24" spans="1:36" ht="18.75" x14ac:dyDescent="0.3">
      <c r="A24" s="105"/>
      <c r="B24" s="98" t="s">
        <v>70</v>
      </c>
      <c r="C24" s="99" t="s">
        <v>71</v>
      </c>
      <c r="D24" s="97" t="s">
        <v>100</v>
      </c>
      <c r="E24" s="96"/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f t="shared" si="0"/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96">
        <v>0</v>
      </c>
      <c r="Z24" s="96">
        <v>0</v>
      </c>
      <c r="AA24" s="96">
        <v>0</v>
      </c>
      <c r="AB24" s="96">
        <v>0</v>
      </c>
      <c r="AC24" s="96">
        <v>0</v>
      </c>
      <c r="AD24" s="96">
        <v>0</v>
      </c>
      <c r="AE24" s="96">
        <v>0</v>
      </c>
      <c r="AF24" s="96">
        <v>0</v>
      </c>
      <c r="AG24" s="96">
        <v>0</v>
      </c>
      <c r="AH24" s="96">
        <v>0</v>
      </c>
      <c r="AI24" s="96">
        <v>0</v>
      </c>
      <c r="AJ24" s="96">
        <v>0</v>
      </c>
    </row>
    <row r="25" spans="1:36" ht="18.75" x14ac:dyDescent="0.3">
      <c r="A25" s="105"/>
      <c r="B25" s="100" t="s">
        <v>72</v>
      </c>
      <c r="C25" s="94" t="s">
        <v>21</v>
      </c>
      <c r="D25" s="97" t="s">
        <v>100</v>
      </c>
      <c r="E25" s="96"/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f t="shared" si="0"/>
        <v>0</v>
      </c>
      <c r="P25" s="96">
        <v>0</v>
      </c>
      <c r="Q25" s="96">
        <v>0</v>
      </c>
      <c r="R25" s="96">
        <v>0</v>
      </c>
      <c r="S25" s="96">
        <v>0</v>
      </c>
      <c r="T25" s="96">
        <v>0</v>
      </c>
      <c r="U25" s="96">
        <v>0</v>
      </c>
      <c r="V25" s="96">
        <v>0</v>
      </c>
      <c r="W25" s="96">
        <v>0</v>
      </c>
      <c r="X25" s="96">
        <v>0</v>
      </c>
      <c r="Y25" s="96">
        <v>0</v>
      </c>
      <c r="Z25" s="96">
        <v>0</v>
      </c>
      <c r="AA25" s="96">
        <v>0</v>
      </c>
      <c r="AB25" s="96">
        <v>0</v>
      </c>
      <c r="AC25" s="96">
        <v>0</v>
      </c>
      <c r="AD25" s="96">
        <v>0</v>
      </c>
      <c r="AE25" s="96">
        <v>0</v>
      </c>
      <c r="AF25" s="96">
        <v>0</v>
      </c>
      <c r="AG25" s="96">
        <v>0</v>
      </c>
      <c r="AH25" s="96">
        <v>0</v>
      </c>
      <c r="AI25" s="96">
        <v>0</v>
      </c>
      <c r="AJ25" s="96">
        <v>0</v>
      </c>
    </row>
    <row r="26" spans="1:36" ht="18.75" x14ac:dyDescent="0.3">
      <c r="A26" s="105"/>
      <c r="B26" s="100" t="s">
        <v>73</v>
      </c>
      <c r="C26" s="94" t="s">
        <v>74</v>
      </c>
      <c r="D26" s="97" t="s">
        <v>100</v>
      </c>
      <c r="E26" s="96"/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f t="shared" si="0"/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Z26" s="96">
        <v>0</v>
      </c>
      <c r="AA26" s="96">
        <v>0</v>
      </c>
      <c r="AB26" s="96">
        <v>0</v>
      </c>
      <c r="AC26" s="96">
        <v>0</v>
      </c>
      <c r="AD26" s="96">
        <v>0</v>
      </c>
      <c r="AE26" s="96">
        <v>0</v>
      </c>
      <c r="AF26" s="96">
        <v>0</v>
      </c>
      <c r="AG26" s="96">
        <v>0</v>
      </c>
      <c r="AH26" s="96">
        <v>0</v>
      </c>
      <c r="AI26" s="96">
        <v>0</v>
      </c>
      <c r="AJ26" s="96">
        <v>0</v>
      </c>
    </row>
    <row r="27" spans="1:36" ht="18.75" x14ac:dyDescent="0.3">
      <c r="A27" s="105"/>
      <c r="B27" s="37"/>
      <c r="C27" s="35"/>
      <c r="D27" s="35"/>
      <c r="E27" s="35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ht="18.75" x14ac:dyDescent="0.3">
      <c r="A28" s="105"/>
      <c r="B28" s="38" t="s">
        <v>69</v>
      </c>
      <c r="C28" s="35" t="s">
        <v>0</v>
      </c>
      <c r="D28" s="35"/>
      <c r="E28" s="35"/>
      <c r="F28" s="36">
        <f>COUNTIF(F5:F12,"OFF")</f>
        <v>1</v>
      </c>
      <c r="G28" s="36">
        <f t="shared" ref="G28:AH28" si="1">COUNTIF(G5:G11,"OFF")</f>
        <v>1</v>
      </c>
      <c r="H28" s="36">
        <f t="shared" si="1"/>
        <v>1</v>
      </c>
      <c r="I28" s="36">
        <f t="shared" si="1"/>
        <v>1</v>
      </c>
      <c r="J28" s="36">
        <f t="shared" si="1"/>
        <v>2</v>
      </c>
      <c r="K28" s="36">
        <f t="shared" si="1"/>
        <v>1</v>
      </c>
      <c r="L28" s="36">
        <f t="shared" si="1"/>
        <v>1</v>
      </c>
      <c r="M28" s="36">
        <f t="shared" si="1"/>
        <v>0</v>
      </c>
      <c r="N28" s="36">
        <f t="shared" si="1"/>
        <v>2</v>
      </c>
      <c r="O28" s="36">
        <f t="shared" si="1"/>
        <v>2</v>
      </c>
      <c r="P28" s="36">
        <f t="shared" si="1"/>
        <v>2</v>
      </c>
      <c r="Q28" s="36">
        <f t="shared" si="1"/>
        <v>1</v>
      </c>
      <c r="R28" s="36">
        <f t="shared" si="1"/>
        <v>0</v>
      </c>
      <c r="S28" s="36">
        <f t="shared" si="1"/>
        <v>1</v>
      </c>
      <c r="T28" s="36">
        <f t="shared" si="1"/>
        <v>0</v>
      </c>
      <c r="U28" s="36">
        <f t="shared" si="1"/>
        <v>2</v>
      </c>
      <c r="V28" s="36">
        <f>COUNTIF(V5:V11,"OFF")</f>
        <v>2</v>
      </c>
      <c r="W28" s="36">
        <f t="shared" si="1"/>
        <v>1</v>
      </c>
      <c r="X28" s="36">
        <f t="shared" si="1"/>
        <v>0</v>
      </c>
      <c r="Y28" s="36">
        <f t="shared" si="1"/>
        <v>1</v>
      </c>
      <c r="Z28" s="36">
        <f t="shared" si="1"/>
        <v>1</v>
      </c>
      <c r="AA28" s="36">
        <f t="shared" si="1"/>
        <v>1</v>
      </c>
      <c r="AB28" s="36">
        <f t="shared" si="1"/>
        <v>2</v>
      </c>
      <c r="AC28" s="36">
        <f t="shared" si="1"/>
        <v>2</v>
      </c>
      <c r="AD28" s="36">
        <f t="shared" si="1"/>
        <v>2</v>
      </c>
      <c r="AE28" s="36">
        <f t="shared" si="1"/>
        <v>1</v>
      </c>
      <c r="AF28" s="36">
        <f t="shared" si="1"/>
        <v>0</v>
      </c>
      <c r="AG28" s="36">
        <f t="shared" si="1"/>
        <v>0</v>
      </c>
      <c r="AH28" s="36">
        <f t="shared" si="1"/>
        <v>1</v>
      </c>
      <c r="AI28" s="36">
        <f t="shared" ref="AI28:AJ28" si="2">COUNTIF(AI5:AI11,"OFF")</f>
        <v>2</v>
      </c>
      <c r="AJ28" s="36">
        <f t="shared" si="2"/>
        <v>2</v>
      </c>
    </row>
    <row r="29" spans="1:36" ht="18.75" x14ac:dyDescent="0.3">
      <c r="A29" s="105"/>
      <c r="B29" s="59" t="s">
        <v>70</v>
      </c>
      <c r="C29" s="60" t="s">
        <v>71</v>
      </c>
      <c r="D29" s="35"/>
      <c r="E29" s="35"/>
      <c r="F29" s="36">
        <f t="shared" ref="F29:AH29" si="3">COUNTIF(F8:F13,"UL")</f>
        <v>0</v>
      </c>
      <c r="G29" s="36">
        <f t="shared" si="3"/>
        <v>0</v>
      </c>
      <c r="H29" s="36">
        <f t="shared" si="3"/>
        <v>0</v>
      </c>
      <c r="I29" s="36">
        <f t="shared" si="3"/>
        <v>0</v>
      </c>
      <c r="J29" s="36">
        <f t="shared" si="3"/>
        <v>0</v>
      </c>
      <c r="K29" s="36">
        <f t="shared" si="3"/>
        <v>0</v>
      </c>
      <c r="L29" s="36">
        <f t="shared" si="3"/>
        <v>0</v>
      </c>
      <c r="M29" s="36">
        <f t="shared" si="3"/>
        <v>0</v>
      </c>
      <c r="N29" s="36">
        <f t="shared" si="3"/>
        <v>0</v>
      </c>
      <c r="O29" s="36">
        <f t="shared" si="3"/>
        <v>0</v>
      </c>
      <c r="P29" s="36">
        <f t="shared" si="3"/>
        <v>0</v>
      </c>
      <c r="Q29" s="36">
        <f t="shared" si="3"/>
        <v>0</v>
      </c>
      <c r="R29" s="36">
        <f t="shared" si="3"/>
        <v>0</v>
      </c>
      <c r="S29" s="36">
        <f t="shared" si="3"/>
        <v>0</v>
      </c>
      <c r="T29" s="36">
        <f t="shared" si="3"/>
        <v>0</v>
      </c>
      <c r="U29" s="36">
        <f t="shared" si="3"/>
        <v>0</v>
      </c>
      <c r="V29" s="36">
        <f t="shared" si="3"/>
        <v>0</v>
      </c>
      <c r="W29" s="36">
        <f t="shared" si="3"/>
        <v>0</v>
      </c>
      <c r="X29" s="36">
        <f t="shared" si="3"/>
        <v>0</v>
      </c>
      <c r="Y29" s="36">
        <f t="shared" si="3"/>
        <v>0</v>
      </c>
      <c r="Z29" s="36">
        <f t="shared" si="3"/>
        <v>0</v>
      </c>
      <c r="AA29" s="36">
        <f t="shared" si="3"/>
        <v>0</v>
      </c>
      <c r="AB29" s="36">
        <f t="shared" si="3"/>
        <v>0</v>
      </c>
      <c r="AC29" s="36">
        <f t="shared" si="3"/>
        <v>0</v>
      </c>
      <c r="AD29" s="36">
        <f t="shared" si="3"/>
        <v>0</v>
      </c>
      <c r="AE29" s="36">
        <f t="shared" si="3"/>
        <v>0</v>
      </c>
      <c r="AF29" s="36">
        <f t="shared" si="3"/>
        <v>0</v>
      </c>
      <c r="AG29" s="36">
        <f t="shared" si="3"/>
        <v>0</v>
      </c>
      <c r="AH29" s="36">
        <f t="shared" si="3"/>
        <v>0</v>
      </c>
      <c r="AI29" s="36">
        <f t="shared" ref="AI29:AJ29" si="4">COUNTIF(AI8:AI13,"UL")</f>
        <v>0</v>
      </c>
      <c r="AJ29" s="36">
        <f t="shared" si="4"/>
        <v>0</v>
      </c>
    </row>
    <row r="30" spans="1:36" ht="18.75" x14ac:dyDescent="0.3">
      <c r="A30" s="105"/>
      <c r="B30" s="38" t="s">
        <v>72</v>
      </c>
      <c r="C30" s="35" t="s">
        <v>21</v>
      </c>
      <c r="D30" s="35"/>
      <c r="E30" s="35"/>
      <c r="F30" s="36">
        <f t="shared" ref="F30:AH30" si="5">COUNTIF(F5:F12,"AL")</f>
        <v>0</v>
      </c>
      <c r="G30" s="36">
        <f t="shared" si="5"/>
        <v>0</v>
      </c>
      <c r="H30" s="36">
        <f t="shared" si="5"/>
        <v>0</v>
      </c>
      <c r="I30" s="36">
        <f t="shared" si="5"/>
        <v>0</v>
      </c>
      <c r="J30" s="36">
        <f t="shared" si="5"/>
        <v>0</v>
      </c>
      <c r="K30" s="36">
        <f t="shared" si="5"/>
        <v>0</v>
      </c>
      <c r="L30" s="36">
        <f t="shared" si="5"/>
        <v>0</v>
      </c>
      <c r="M30" s="36">
        <f t="shared" si="5"/>
        <v>0</v>
      </c>
      <c r="N30" s="36">
        <f t="shared" si="5"/>
        <v>0</v>
      </c>
      <c r="O30" s="36">
        <f t="shared" si="5"/>
        <v>0</v>
      </c>
      <c r="P30" s="36">
        <f t="shared" si="5"/>
        <v>0</v>
      </c>
      <c r="Q30" s="36">
        <f t="shared" si="5"/>
        <v>0</v>
      </c>
      <c r="R30" s="36">
        <f t="shared" si="5"/>
        <v>0</v>
      </c>
      <c r="S30" s="36">
        <f t="shared" si="5"/>
        <v>0</v>
      </c>
      <c r="T30" s="36">
        <f t="shared" si="5"/>
        <v>0</v>
      </c>
      <c r="U30" s="36">
        <f t="shared" si="5"/>
        <v>0</v>
      </c>
      <c r="V30" s="36">
        <f>COUNTIF(V5:V12,"AL")</f>
        <v>0</v>
      </c>
      <c r="W30" s="36">
        <f t="shared" si="5"/>
        <v>1</v>
      </c>
      <c r="X30" s="36">
        <f t="shared" si="5"/>
        <v>0</v>
      </c>
      <c r="Y30" s="36">
        <f t="shared" si="5"/>
        <v>0</v>
      </c>
      <c r="Z30" s="36">
        <f t="shared" si="5"/>
        <v>0</v>
      </c>
      <c r="AA30" s="36">
        <f t="shared" si="5"/>
        <v>0</v>
      </c>
      <c r="AB30" s="36">
        <f t="shared" si="5"/>
        <v>0</v>
      </c>
      <c r="AC30" s="36">
        <f t="shared" si="5"/>
        <v>0</v>
      </c>
      <c r="AD30" s="36">
        <f t="shared" si="5"/>
        <v>0</v>
      </c>
      <c r="AE30" s="36">
        <f t="shared" si="5"/>
        <v>1</v>
      </c>
      <c r="AF30" s="36">
        <f t="shared" si="5"/>
        <v>0</v>
      </c>
      <c r="AG30" s="36">
        <f t="shared" si="5"/>
        <v>0</v>
      </c>
      <c r="AH30" s="36">
        <f t="shared" si="5"/>
        <v>0</v>
      </c>
      <c r="AI30" s="36">
        <f t="shared" ref="AI30:AJ30" si="6">COUNTIF(AI5:AI12,"AL")</f>
        <v>0</v>
      </c>
      <c r="AJ30" s="36">
        <f t="shared" si="6"/>
        <v>0</v>
      </c>
    </row>
    <row r="31" spans="1:36" ht="18.75" x14ac:dyDescent="0.3">
      <c r="A31" s="105"/>
      <c r="B31" s="81" t="s">
        <v>73</v>
      </c>
      <c r="C31" s="35" t="s">
        <v>74</v>
      </c>
      <c r="D31" s="35"/>
      <c r="E31" s="35"/>
      <c r="F31" s="36">
        <f t="shared" ref="F31:AH31" si="7">COUNTIF(F5:F11,"PH")</f>
        <v>0</v>
      </c>
      <c r="G31" s="36">
        <f t="shared" si="7"/>
        <v>0</v>
      </c>
      <c r="H31" s="36">
        <f t="shared" si="7"/>
        <v>0</v>
      </c>
      <c r="I31" s="36">
        <f t="shared" si="7"/>
        <v>0</v>
      </c>
      <c r="J31" s="36">
        <f t="shared" si="7"/>
        <v>0</v>
      </c>
      <c r="K31" s="36">
        <f t="shared" si="7"/>
        <v>0</v>
      </c>
      <c r="L31" s="36">
        <f t="shared" si="7"/>
        <v>0</v>
      </c>
      <c r="M31" s="36">
        <f t="shared" si="7"/>
        <v>0</v>
      </c>
      <c r="N31" s="36">
        <f t="shared" si="7"/>
        <v>0</v>
      </c>
      <c r="O31" s="36">
        <f t="shared" si="7"/>
        <v>0</v>
      </c>
      <c r="P31" s="36">
        <f t="shared" si="7"/>
        <v>0</v>
      </c>
      <c r="Q31" s="36">
        <f t="shared" si="7"/>
        <v>0</v>
      </c>
      <c r="R31" s="36">
        <f t="shared" si="7"/>
        <v>0</v>
      </c>
      <c r="S31" s="36">
        <f t="shared" si="7"/>
        <v>0</v>
      </c>
      <c r="T31" s="36">
        <f t="shared" si="7"/>
        <v>0</v>
      </c>
      <c r="U31" s="36">
        <f t="shared" si="7"/>
        <v>0</v>
      </c>
      <c r="V31" s="36">
        <f>COUNTIF(V5:V11,"PH")</f>
        <v>0</v>
      </c>
      <c r="W31" s="36">
        <f t="shared" si="7"/>
        <v>0</v>
      </c>
      <c r="X31" s="36">
        <f t="shared" si="7"/>
        <v>0</v>
      </c>
      <c r="Y31" s="36">
        <f t="shared" si="7"/>
        <v>0</v>
      </c>
      <c r="Z31" s="36">
        <f t="shared" si="7"/>
        <v>0</v>
      </c>
      <c r="AA31" s="36">
        <f t="shared" si="7"/>
        <v>0</v>
      </c>
      <c r="AB31" s="36">
        <f t="shared" si="7"/>
        <v>0</v>
      </c>
      <c r="AC31" s="36">
        <f t="shared" si="7"/>
        <v>0</v>
      </c>
      <c r="AD31" s="36">
        <f t="shared" si="7"/>
        <v>0</v>
      </c>
      <c r="AE31" s="36">
        <f t="shared" si="7"/>
        <v>0</v>
      </c>
      <c r="AF31" s="36">
        <f t="shared" si="7"/>
        <v>0</v>
      </c>
      <c r="AG31" s="36">
        <f t="shared" si="7"/>
        <v>0</v>
      </c>
      <c r="AH31" s="36">
        <f t="shared" si="7"/>
        <v>0</v>
      </c>
      <c r="AI31" s="36">
        <f t="shared" ref="AI31:AJ31" si="8">COUNTIF(AI5:AI11,"PH")</f>
        <v>0</v>
      </c>
      <c r="AJ31" s="36">
        <f t="shared" si="8"/>
        <v>0</v>
      </c>
    </row>
    <row r="32" spans="1:36" ht="14.25" customHeight="1" x14ac:dyDescent="0.2">
      <c r="A32" s="82"/>
      <c r="B32" s="48"/>
    </row>
    <row r="33" spans="1:2" ht="14.25" customHeight="1" x14ac:dyDescent="0.2">
      <c r="A33" s="82"/>
      <c r="B33" s="48"/>
    </row>
    <row r="34" spans="1:2" ht="14.25" customHeight="1" x14ac:dyDescent="0.2">
      <c r="A34" s="82"/>
      <c r="B34" s="48"/>
    </row>
    <row r="35" spans="1:2" x14ac:dyDescent="0.2">
      <c r="A35" s="48"/>
      <c r="B35" s="48"/>
    </row>
  </sheetData>
  <mergeCells count="3">
    <mergeCell ref="A14:A31"/>
    <mergeCell ref="A1:AH2"/>
    <mergeCell ref="A12:AJ13"/>
  </mergeCells>
  <conditionalFormatting sqref="F5:AO11">
    <cfRule type="containsText" dxfId="1" priority="1" operator="containsText" text="OFF">
      <formula>NOT(ISERROR(SEARCH("OFF",F5)))</formula>
    </cfRule>
  </conditionalFormatting>
  <pageMargins left="0.7" right="0.7" top="0.75" bottom="0.75" header="0.3" footer="0.3"/>
  <pageSetup paperSize="0" orientation="portrait" horizontalDpi="180" verticalDpi="180" copies="2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ED11-7868-469F-AEA1-C1F867BEE3EC}">
  <dimension ref="A1:BV35"/>
  <sheetViews>
    <sheetView zoomScaleNormal="100" workbookViewId="0">
      <selection activeCell="G8" sqref="G8"/>
    </sheetView>
  </sheetViews>
  <sheetFormatPr defaultRowHeight="14.25" x14ac:dyDescent="0.2"/>
  <cols>
    <col min="1" max="1" width="6.875" customWidth="1"/>
    <col min="2" max="2" width="22" customWidth="1"/>
    <col min="3" max="3" width="5.5" customWidth="1"/>
    <col min="4" max="4" width="13.625" bestFit="1" customWidth="1"/>
    <col min="5" max="5" width="13.875" customWidth="1"/>
    <col min="6" max="6" width="6.375" customWidth="1"/>
    <col min="7" max="13" width="5.625" customWidth="1"/>
    <col min="14" max="14" width="7.625" customWidth="1"/>
    <col min="15" max="28" width="6.5" customWidth="1"/>
    <col min="29" max="34" width="6.5" bestFit="1" customWidth="1"/>
  </cols>
  <sheetData>
    <row r="1" spans="1:74" ht="22.5" customHeight="1" x14ac:dyDescent="0.2">
      <c r="A1" s="108" t="s">
        <v>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</row>
    <row r="2" spans="1:74" ht="14.25" customHeight="1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</row>
    <row r="3" spans="1:74" ht="18.75" customHeight="1" x14ac:dyDescent="0.2">
      <c r="A3" s="17">
        <v>1207</v>
      </c>
      <c r="B3" s="18"/>
      <c r="C3" s="19"/>
      <c r="D3" s="45"/>
      <c r="E3" s="19"/>
      <c r="F3" s="20" t="s">
        <v>8</v>
      </c>
      <c r="G3" s="79" t="s">
        <v>2</v>
      </c>
      <c r="H3" s="79" t="s">
        <v>3</v>
      </c>
      <c r="I3" s="79" t="s">
        <v>4</v>
      </c>
      <c r="J3" s="79" t="s">
        <v>5</v>
      </c>
      <c r="K3" s="79" t="s">
        <v>6</v>
      </c>
      <c r="L3" s="79" t="s">
        <v>7</v>
      </c>
      <c r="M3" s="79" t="s">
        <v>8</v>
      </c>
      <c r="N3" s="79" t="s">
        <v>2</v>
      </c>
      <c r="O3" s="79" t="s">
        <v>3</v>
      </c>
      <c r="P3" s="79" t="s">
        <v>4</v>
      </c>
      <c r="Q3" s="79" t="s">
        <v>5</v>
      </c>
      <c r="R3" s="79" t="s">
        <v>6</v>
      </c>
      <c r="S3" s="79" t="s">
        <v>7</v>
      </c>
      <c r="T3" s="79" t="s">
        <v>8</v>
      </c>
      <c r="U3" s="79" t="s">
        <v>2</v>
      </c>
      <c r="V3" s="79" t="s">
        <v>3</v>
      </c>
      <c r="W3" s="79" t="s">
        <v>4</v>
      </c>
      <c r="X3" s="79" t="s">
        <v>5</v>
      </c>
      <c r="Y3" s="79" t="s">
        <v>6</v>
      </c>
      <c r="Z3" s="79" t="s">
        <v>7</v>
      </c>
      <c r="AA3" s="79" t="s">
        <v>8</v>
      </c>
      <c r="AB3" s="79" t="s">
        <v>2</v>
      </c>
      <c r="AC3" s="79" t="s">
        <v>3</v>
      </c>
      <c r="AD3" s="79" t="s">
        <v>4</v>
      </c>
      <c r="AE3" s="79" t="s">
        <v>5</v>
      </c>
      <c r="AF3" s="79" t="s">
        <v>6</v>
      </c>
      <c r="AG3" s="79" t="s">
        <v>7</v>
      </c>
      <c r="AH3" s="79" t="s">
        <v>8</v>
      </c>
      <c r="AI3" s="79" t="s">
        <v>2</v>
      </c>
    </row>
    <row r="4" spans="1:74" x14ac:dyDescent="0.2">
      <c r="A4" s="21" t="s">
        <v>9</v>
      </c>
      <c r="B4" s="22" t="s">
        <v>10</v>
      </c>
      <c r="C4" s="44" t="s">
        <v>11</v>
      </c>
      <c r="D4" s="46" t="s">
        <v>12</v>
      </c>
      <c r="E4" s="42" t="s">
        <v>13</v>
      </c>
      <c r="F4" s="23">
        <v>46113</v>
      </c>
      <c r="G4" s="23">
        <v>46114</v>
      </c>
      <c r="H4" s="23">
        <v>46115</v>
      </c>
      <c r="I4" s="23">
        <v>46116</v>
      </c>
      <c r="J4" s="23">
        <v>46117</v>
      </c>
      <c r="K4" s="23">
        <v>46118</v>
      </c>
      <c r="L4" s="23">
        <v>46119</v>
      </c>
      <c r="M4" s="23">
        <v>46120</v>
      </c>
      <c r="N4" s="23">
        <v>46121</v>
      </c>
      <c r="O4" s="23">
        <v>46122</v>
      </c>
      <c r="P4" s="23">
        <v>46123</v>
      </c>
      <c r="Q4" s="23">
        <v>46124</v>
      </c>
      <c r="R4" s="23">
        <v>46125</v>
      </c>
      <c r="S4" s="23">
        <v>46126</v>
      </c>
      <c r="T4" s="23">
        <v>46127</v>
      </c>
      <c r="U4" s="23">
        <v>46128</v>
      </c>
      <c r="V4" s="23">
        <v>46129</v>
      </c>
      <c r="W4" s="23">
        <v>46130</v>
      </c>
      <c r="X4" s="23">
        <v>46131</v>
      </c>
      <c r="Y4" s="23">
        <v>46132</v>
      </c>
      <c r="Z4" s="23">
        <v>46133</v>
      </c>
      <c r="AA4" s="23">
        <v>46134</v>
      </c>
      <c r="AB4" s="23">
        <v>46135</v>
      </c>
      <c r="AC4" s="23">
        <v>46136</v>
      </c>
      <c r="AD4" s="23">
        <v>46137</v>
      </c>
      <c r="AE4" s="23">
        <v>46138</v>
      </c>
      <c r="AF4" s="23">
        <v>46139</v>
      </c>
      <c r="AG4" s="23">
        <v>46140</v>
      </c>
      <c r="AH4" s="23">
        <v>46141</v>
      </c>
      <c r="AI4" s="23">
        <v>46142</v>
      </c>
    </row>
    <row r="5" spans="1:74" x14ac:dyDescent="0.2">
      <c r="A5" s="24">
        <v>1</v>
      </c>
      <c r="B5" s="25" t="s">
        <v>43</v>
      </c>
      <c r="C5" s="24" t="s">
        <v>75</v>
      </c>
      <c r="D5" s="24" t="s">
        <v>45</v>
      </c>
      <c r="E5" s="86">
        <v>938649420</v>
      </c>
      <c r="F5" s="40" t="s">
        <v>19</v>
      </c>
      <c r="G5" s="40" t="s">
        <v>18</v>
      </c>
      <c r="H5" s="40" t="s">
        <v>19</v>
      </c>
      <c r="I5" s="63" t="s">
        <v>18</v>
      </c>
      <c r="J5" s="63" t="s">
        <v>18</v>
      </c>
      <c r="K5" s="40"/>
      <c r="L5" s="40"/>
      <c r="M5" s="40"/>
      <c r="N5" s="40"/>
      <c r="O5" s="40"/>
      <c r="P5" s="63"/>
      <c r="Q5" s="63"/>
      <c r="R5" s="40"/>
      <c r="S5" s="40"/>
      <c r="T5" s="40"/>
      <c r="U5" s="40"/>
      <c r="V5" s="40"/>
      <c r="W5" s="63"/>
      <c r="X5" s="63"/>
      <c r="Y5" s="40"/>
      <c r="Z5" s="40"/>
      <c r="AA5" s="40"/>
      <c r="AB5" s="40"/>
      <c r="AC5" s="40"/>
      <c r="AD5" s="63"/>
      <c r="AE5" s="63"/>
      <c r="AF5" s="40"/>
      <c r="AG5" s="40"/>
      <c r="AH5" s="40"/>
      <c r="AI5" s="40"/>
      <c r="AJ5" s="40"/>
      <c r="AK5" s="63"/>
      <c r="AL5" s="63"/>
    </row>
    <row r="6" spans="1:74" ht="15" customHeight="1" x14ac:dyDescent="0.2">
      <c r="A6" s="24">
        <v>2</v>
      </c>
      <c r="B6" s="27" t="s">
        <v>79</v>
      </c>
      <c r="C6" s="68" t="s">
        <v>24</v>
      </c>
      <c r="D6" s="68" t="s">
        <v>80</v>
      </c>
      <c r="E6" s="87">
        <v>913108062</v>
      </c>
      <c r="F6" s="40" t="s">
        <v>18</v>
      </c>
      <c r="G6" s="40" t="s">
        <v>0</v>
      </c>
      <c r="H6" s="40" t="s">
        <v>18</v>
      </c>
      <c r="I6" s="63" t="s">
        <v>19</v>
      </c>
      <c r="J6" s="63" t="s">
        <v>18</v>
      </c>
      <c r="K6" s="40"/>
      <c r="L6" s="40"/>
      <c r="M6" s="40"/>
      <c r="N6" s="40"/>
      <c r="O6" s="40"/>
      <c r="P6" s="63"/>
      <c r="Q6" s="63"/>
      <c r="R6" s="40"/>
      <c r="S6" s="40"/>
      <c r="T6" s="40"/>
      <c r="U6" s="40"/>
      <c r="V6" s="40"/>
      <c r="W6" s="63"/>
      <c r="X6" s="63"/>
      <c r="Y6" s="40"/>
      <c r="Z6" s="40"/>
      <c r="AA6" s="40"/>
      <c r="AB6" s="40"/>
      <c r="AC6" s="40"/>
      <c r="AD6" s="63"/>
      <c r="AE6" s="63"/>
      <c r="AF6" s="40"/>
      <c r="AG6" s="40"/>
      <c r="AH6" s="40"/>
      <c r="AI6" s="40"/>
      <c r="AJ6" s="40"/>
      <c r="AK6" s="63"/>
      <c r="AL6" s="63"/>
    </row>
    <row r="7" spans="1:74" ht="15" customHeight="1" x14ac:dyDescent="0.2">
      <c r="A7" s="24">
        <v>2</v>
      </c>
      <c r="B7" s="27" t="s">
        <v>104</v>
      </c>
      <c r="C7" s="68" t="s">
        <v>24</v>
      </c>
      <c r="D7" s="68"/>
      <c r="E7" s="87" t="s">
        <v>103</v>
      </c>
      <c r="F7" s="40" t="s">
        <v>0</v>
      </c>
      <c r="G7" s="40" t="s">
        <v>19</v>
      </c>
      <c r="H7" s="40" t="s">
        <v>19</v>
      </c>
      <c r="I7" s="63" t="s">
        <v>18</v>
      </c>
      <c r="J7" s="63" t="s">
        <v>19</v>
      </c>
      <c r="K7" s="40"/>
      <c r="L7" s="40"/>
      <c r="M7" s="40"/>
      <c r="N7" s="40"/>
      <c r="O7" s="40"/>
      <c r="P7" s="63"/>
      <c r="Q7" s="63"/>
      <c r="R7" s="40"/>
      <c r="S7" s="40"/>
      <c r="T7" s="40"/>
      <c r="U7" s="40"/>
      <c r="V7" s="40"/>
      <c r="W7" s="63"/>
      <c r="X7" s="63"/>
      <c r="Y7" s="40"/>
      <c r="Z7" s="40"/>
      <c r="AA7" s="40"/>
      <c r="AB7" s="40"/>
      <c r="AC7" s="40"/>
      <c r="AD7" s="63"/>
      <c r="AE7" s="63"/>
      <c r="AF7" s="40"/>
      <c r="AG7" s="40"/>
      <c r="AH7" s="40"/>
      <c r="AI7" s="40"/>
      <c r="AJ7" s="40"/>
      <c r="AK7" s="63"/>
      <c r="AL7" s="63"/>
    </row>
    <row r="8" spans="1:74" x14ac:dyDescent="0.2">
      <c r="A8" s="24">
        <v>3</v>
      </c>
      <c r="B8" s="27" t="s">
        <v>38</v>
      </c>
      <c r="C8" s="28" t="s">
        <v>31</v>
      </c>
      <c r="D8" s="28" t="s">
        <v>39</v>
      </c>
      <c r="E8" s="86">
        <v>853398005</v>
      </c>
      <c r="F8" s="40" t="s">
        <v>92</v>
      </c>
      <c r="G8" s="40" t="s">
        <v>0</v>
      </c>
      <c r="H8" s="40" t="s">
        <v>41</v>
      </c>
      <c r="I8" s="63" t="s">
        <v>34</v>
      </c>
      <c r="J8" s="63" t="s">
        <v>0</v>
      </c>
      <c r="K8" s="40"/>
      <c r="L8" s="40"/>
      <c r="M8" s="40"/>
      <c r="N8" s="40"/>
      <c r="O8" s="40"/>
      <c r="P8" s="63"/>
      <c r="Q8" s="63"/>
      <c r="R8" s="40"/>
      <c r="S8" s="40"/>
      <c r="T8" s="40"/>
      <c r="U8" s="40"/>
      <c r="V8" s="40"/>
      <c r="W8" s="63"/>
      <c r="X8" s="63"/>
      <c r="Y8" s="40"/>
      <c r="Z8" s="40"/>
      <c r="AA8" s="40"/>
      <c r="AB8" s="40"/>
      <c r="AC8" s="40"/>
      <c r="AD8" s="63"/>
      <c r="AE8" s="63"/>
      <c r="AF8" s="40"/>
      <c r="AG8" s="40"/>
      <c r="AH8" s="40"/>
      <c r="AI8" s="40"/>
      <c r="AJ8" s="40"/>
      <c r="AK8" s="63"/>
      <c r="AL8" s="63"/>
      <c r="BV8" t="s">
        <v>84</v>
      </c>
    </row>
    <row r="9" spans="1:74" x14ac:dyDescent="0.2">
      <c r="A9" s="24">
        <v>4</v>
      </c>
      <c r="B9" s="27" t="s">
        <v>48</v>
      </c>
      <c r="C9" s="28" t="s">
        <v>31</v>
      </c>
      <c r="D9" s="28" t="s">
        <v>83</v>
      </c>
      <c r="E9" s="86">
        <v>823777977</v>
      </c>
      <c r="F9" s="40" t="s">
        <v>0</v>
      </c>
      <c r="G9" s="40" t="s">
        <v>93</v>
      </c>
      <c r="H9" s="40" t="s">
        <v>0</v>
      </c>
      <c r="I9" s="63" t="s">
        <v>93</v>
      </c>
      <c r="J9" s="63" t="s">
        <v>93</v>
      </c>
      <c r="K9" s="40"/>
      <c r="L9" s="40"/>
      <c r="M9" s="40"/>
      <c r="N9" s="40"/>
      <c r="O9" s="40"/>
      <c r="P9" s="63"/>
      <c r="Q9" s="63"/>
      <c r="R9" s="40"/>
      <c r="S9" s="40"/>
      <c r="T9" s="40"/>
      <c r="U9" s="40"/>
      <c r="V9" s="40"/>
      <c r="W9" s="63"/>
      <c r="X9" s="63"/>
      <c r="Y9" s="40"/>
      <c r="Z9" s="40"/>
      <c r="AA9" s="40"/>
      <c r="AB9" s="40"/>
      <c r="AC9" s="40"/>
      <c r="AD9" s="63"/>
      <c r="AE9" s="63"/>
      <c r="AF9" s="40"/>
      <c r="AG9" s="40"/>
      <c r="AH9" s="40"/>
      <c r="AI9" s="40"/>
      <c r="AJ9" s="40"/>
      <c r="AK9" s="63"/>
      <c r="AL9" s="63"/>
    </row>
    <row r="10" spans="1:74" ht="13.5" customHeight="1" x14ac:dyDescent="0.2">
      <c r="A10" s="24">
        <v>5</v>
      </c>
      <c r="B10" s="27" t="s">
        <v>85</v>
      </c>
      <c r="C10" s="28" t="s">
        <v>31</v>
      </c>
      <c r="D10" s="68" t="s">
        <v>86</v>
      </c>
      <c r="E10" s="86">
        <v>347690368</v>
      </c>
      <c r="F10" s="40" t="s">
        <v>93</v>
      </c>
      <c r="G10" s="40" t="s">
        <v>0</v>
      </c>
      <c r="H10" s="40" t="s">
        <v>94</v>
      </c>
      <c r="I10" s="63" t="s">
        <v>0</v>
      </c>
      <c r="J10" s="63" t="s">
        <v>34</v>
      </c>
      <c r="K10" s="40"/>
      <c r="L10" s="40"/>
      <c r="M10" s="40"/>
      <c r="N10" s="40"/>
      <c r="O10" s="40"/>
      <c r="P10" s="63"/>
      <c r="Q10" s="63"/>
      <c r="R10" s="40"/>
      <c r="S10" s="40"/>
      <c r="T10" s="40"/>
      <c r="U10" s="40"/>
      <c r="V10" s="40"/>
      <c r="W10" s="63"/>
      <c r="X10" s="63"/>
      <c r="Y10" s="40"/>
      <c r="Z10" s="40"/>
      <c r="AA10" s="40"/>
      <c r="AB10" s="40"/>
      <c r="AC10" s="40"/>
      <c r="AD10" s="63"/>
      <c r="AE10" s="63"/>
      <c r="AF10" s="40"/>
      <c r="AG10" s="40"/>
      <c r="AH10" s="40"/>
      <c r="AI10" s="40"/>
      <c r="AJ10" s="40"/>
      <c r="AK10" s="63"/>
      <c r="AL10" s="63"/>
    </row>
    <row r="11" spans="1:74" x14ac:dyDescent="0.2">
      <c r="A11" s="24">
        <v>6</v>
      </c>
      <c r="B11" s="27" t="s">
        <v>102</v>
      </c>
      <c r="C11" s="28" t="s">
        <v>31</v>
      </c>
      <c r="D11" s="24"/>
      <c r="E11" s="102">
        <v>981525840</v>
      </c>
      <c r="F11" s="40" t="s">
        <v>0</v>
      </c>
      <c r="G11" s="40" t="s">
        <v>92</v>
      </c>
      <c r="H11" s="40" t="s">
        <v>34</v>
      </c>
      <c r="I11" s="63" t="s">
        <v>0</v>
      </c>
      <c r="J11" s="63" t="s">
        <v>94</v>
      </c>
      <c r="K11" s="40"/>
      <c r="L11" s="40"/>
      <c r="M11" s="40"/>
      <c r="N11" s="40"/>
      <c r="O11" s="40"/>
      <c r="P11" s="63"/>
      <c r="Q11" s="63"/>
      <c r="R11" s="40"/>
      <c r="S11" s="40"/>
      <c r="T11" s="40"/>
      <c r="U11" s="40"/>
      <c r="V11" s="40"/>
      <c r="W11" s="63"/>
      <c r="X11" s="63"/>
      <c r="Y11" s="40"/>
      <c r="Z11" s="40"/>
      <c r="AA11" s="40"/>
      <c r="AB11" s="40"/>
      <c r="AC11" s="40"/>
      <c r="AD11" s="63"/>
      <c r="AE11" s="63"/>
      <c r="AF11" s="40"/>
      <c r="AG11" s="40"/>
      <c r="AH11" s="40"/>
      <c r="AI11" s="40"/>
      <c r="AJ11" s="40"/>
      <c r="AK11" s="63"/>
      <c r="AL11" s="63"/>
    </row>
    <row r="12" spans="1:74" s="48" customFormat="1" ht="15" customHeight="1" x14ac:dyDescent="0.2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</row>
    <row r="13" spans="1:74" s="48" customFormat="1" ht="15" customHeight="1" x14ac:dyDescent="0.2">
      <c r="A13" s="107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</row>
    <row r="14" spans="1:74" ht="18" customHeight="1" x14ac:dyDescent="0.3">
      <c r="A14" s="104" t="s">
        <v>51</v>
      </c>
      <c r="B14" s="93" t="s">
        <v>95</v>
      </c>
      <c r="C14" s="94" t="s">
        <v>19</v>
      </c>
      <c r="D14" s="95" t="s">
        <v>96</v>
      </c>
      <c r="E14" s="96"/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96">
        <v>0</v>
      </c>
      <c r="N14" s="96">
        <f>COUNTIF(O5:O11,"A")</f>
        <v>0</v>
      </c>
      <c r="O14" s="96">
        <f>COUNTIF(O5:O11,"A")</f>
        <v>0</v>
      </c>
      <c r="P14" s="96">
        <v>0</v>
      </c>
      <c r="Q14" s="96">
        <v>0</v>
      </c>
      <c r="R14" s="96">
        <v>0</v>
      </c>
      <c r="S14" s="96">
        <v>0</v>
      </c>
      <c r="T14" s="96">
        <v>0</v>
      </c>
      <c r="U14" s="96">
        <v>0</v>
      </c>
      <c r="V14" s="96">
        <v>0</v>
      </c>
      <c r="W14" s="96">
        <v>0</v>
      </c>
      <c r="X14" s="96">
        <v>0</v>
      </c>
      <c r="Y14" s="96">
        <v>0</v>
      </c>
      <c r="Z14" s="96">
        <v>0</v>
      </c>
      <c r="AA14" s="96">
        <v>0</v>
      </c>
      <c r="AB14" s="96">
        <v>0</v>
      </c>
      <c r="AC14" s="96">
        <v>0</v>
      </c>
      <c r="AD14" s="96">
        <v>0</v>
      </c>
      <c r="AE14" s="96">
        <v>0</v>
      </c>
      <c r="AF14" s="96">
        <v>0</v>
      </c>
      <c r="AG14" s="96">
        <v>0</v>
      </c>
      <c r="AH14" s="96">
        <v>0</v>
      </c>
      <c r="AI14" s="96">
        <v>0</v>
      </c>
    </row>
    <row r="15" spans="1:74" ht="18.75" x14ac:dyDescent="0.3">
      <c r="A15" s="105"/>
      <c r="B15" s="93" t="s">
        <v>97</v>
      </c>
      <c r="C15" s="94" t="s">
        <v>18</v>
      </c>
      <c r="D15" s="95" t="s">
        <v>96</v>
      </c>
      <c r="E15" s="96"/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96">
        <v>0</v>
      </c>
      <c r="N15" s="96">
        <v>0</v>
      </c>
      <c r="O15" s="96">
        <f>COUNTIF(O6:O12,"b")</f>
        <v>0</v>
      </c>
      <c r="P15" s="96">
        <v>0</v>
      </c>
      <c r="Q15" s="96">
        <v>0</v>
      </c>
      <c r="R15" s="96">
        <v>0</v>
      </c>
      <c r="S15" s="96">
        <v>0</v>
      </c>
      <c r="T15" s="96">
        <v>0</v>
      </c>
      <c r="U15" s="96">
        <v>0</v>
      </c>
      <c r="V15" s="96">
        <v>0</v>
      </c>
      <c r="W15" s="96">
        <v>0</v>
      </c>
      <c r="X15" s="96">
        <v>0</v>
      </c>
      <c r="Y15" s="96">
        <v>0</v>
      </c>
      <c r="Z15" s="96">
        <v>0</v>
      </c>
      <c r="AA15" s="96">
        <v>0</v>
      </c>
      <c r="AB15" s="96">
        <v>0</v>
      </c>
      <c r="AC15" s="96">
        <v>0</v>
      </c>
      <c r="AD15" s="96">
        <v>0</v>
      </c>
      <c r="AE15" s="96">
        <v>0</v>
      </c>
      <c r="AF15" s="96">
        <v>0</v>
      </c>
      <c r="AG15" s="96">
        <v>0</v>
      </c>
      <c r="AH15" s="96">
        <v>0</v>
      </c>
      <c r="AI15" s="96">
        <v>0</v>
      </c>
    </row>
    <row r="16" spans="1:74" ht="18.75" x14ac:dyDescent="0.3">
      <c r="A16" s="105"/>
      <c r="B16" s="93" t="s">
        <v>98</v>
      </c>
      <c r="C16" s="94" t="s">
        <v>22</v>
      </c>
      <c r="D16" s="95" t="s">
        <v>96</v>
      </c>
      <c r="E16" s="96"/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f t="shared" ref="O16:O26" si="0">COUNTIF(O8:O13,"A")</f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96">
        <v>0</v>
      </c>
      <c r="Z16" s="96">
        <v>0</v>
      </c>
      <c r="AA16" s="96">
        <v>0</v>
      </c>
      <c r="AB16" s="96">
        <v>0</v>
      </c>
      <c r="AC16" s="96">
        <v>0</v>
      </c>
      <c r="AD16" s="96">
        <v>0</v>
      </c>
      <c r="AE16" s="96">
        <v>0</v>
      </c>
      <c r="AF16" s="96">
        <v>0</v>
      </c>
      <c r="AG16" s="96">
        <v>0</v>
      </c>
      <c r="AH16" s="96">
        <v>0</v>
      </c>
      <c r="AI16" s="96">
        <v>0</v>
      </c>
    </row>
    <row r="17" spans="1:35" ht="18.75" x14ac:dyDescent="0.3">
      <c r="A17" s="105"/>
      <c r="B17" s="93" t="s">
        <v>99</v>
      </c>
      <c r="C17" s="94" t="s">
        <v>34</v>
      </c>
      <c r="D17" s="97" t="s">
        <v>100</v>
      </c>
      <c r="E17" s="96"/>
      <c r="F17" s="96">
        <v>0</v>
      </c>
      <c r="G17" s="96">
        <v>0</v>
      </c>
      <c r="H17" s="96">
        <v>0</v>
      </c>
      <c r="I17" s="96">
        <v>0</v>
      </c>
      <c r="J17" s="96">
        <v>0</v>
      </c>
      <c r="K17" s="96">
        <v>0</v>
      </c>
      <c r="L17" s="96">
        <v>0</v>
      </c>
      <c r="M17" s="96">
        <v>0</v>
      </c>
      <c r="N17" s="96">
        <v>0</v>
      </c>
      <c r="O17" s="96">
        <f t="shared" si="0"/>
        <v>0</v>
      </c>
      <c r="P17" s="96">
        <v>0</v>
      </c>
      <c r="Q17" s="96">
        <v>0</v>
      </c>
      <c r="R17" s="96">
        <v>0</v>
      </c>
      <c r="S17" s="96">
        <v>0</v>
      </c>
      <c r="T17" s="96">
        <v>0</v>
      </c>
      <c r="U17" s="96">
        <v>0</v>
      </c>
      <c r="V17" s="96">
        <v>0</v>
      </c>
      <c r="W17" s="96">
        <v>0</v>
      </c>
      <c r="X17" s="96">
        <v>0</v>
      </c>
      <c r="Y17" s="96">
        <v>0</v>
      </c>
      <c r="Z17" s="96">
        <v>0</v>
      </c>
      <c r="AA17" s="96">
        <v>0</v>
      </c>
      <c r="AB17" s="96">
        <v>0</v>
      </c>
      <c r="AC17" s="96">
        <v>0</v>
      </c>
      <c r="AD17" s="96">
        <v>0</v>
      </c>
      <c r="AE17" s="96">
        <v>0</v>
      </c>
      <c r="AF17" s="96">
        <v>0</v>
      </c>
      <c r="AG17" s="96">
        <v>0</v>
      </c>
      <c r="AH17" s="96">
        <v>0</v>
      </c>
      <c r="AI17" s="96">
        <v>0</v>
      </c>
    </row>
    <row r="18" spans="1:35" ht="18.75" x14ac:dyDescent="0.3">
      <c r="A18" s="105"/>
      <c r="B18" s="93" t="s">
        <v>53</v>
      </c>
      <c r="C18" s="94" t="s">
        <v>41</v>
      </c>
      <c r="D18" s="97" t="s">
        <v>100</v>
      </c>
      <c r="E18" s="96"/>
      <c r="F18" s="96">
        <v>0</v>
      </c>
      <c r="G18" s="96">
        <v>0</v>
      </c>
      <c r="H18" s="96">
        <v>0</v>
      </c>
      <c r="I18" s="96">
        <v>0</v>
      </c>
      <c r="J18" s="96">
        <v>0</v>
      </c>
      <c r="K18" s="96">
        <v>0</v>
      </c>
      <c r="L18" s="96">
        <v>0</v>
      </c>
      <c r="M18" s="96">
        <v>0</v>
      </c>
      <c r="N18" s="96">
        <v>0</v>
      </c>
      <c r="O18" s="96">
        <f t="shared" si="0"/>
        <v>0</v>
      </c>
      <c r="P18" s="96">
        <v>0</v>
      </c>
      <c r="Q18" s="96">
        <v>0</v>
      </c>
      <c r="R18" s="96">
        <v>0</v>
      </c>
      <c r="S18" s="96">
        <v>0</v>
      </c>
      <c r="T18" s="96">
        <v>0</v>
      </c>
      <c r="U18" s="96">
        <v>0</v>
      </c>
      <c r="V18" s="96">
        <v>0</v>
      </c>
      <c r="W18" s="96">
        <v>0</v>
      </c>
      <c r="X18" s="96">
        <v>0</v>
      </c>
      <c r="Y18" s="96">
        <v>0</v>
      </c>
      <c r="Z18" s="96">
        <v>0</v>
      </c>
      <c r="AA18" s="96">
        <v>0</v>
      </c>
      <c r="AB18" s="96">
        <v>0</v>
      </c>
      <c r="AC18" s="96">
        <v>0</v>
      </c>
      <c r="AD18" s="96">
        <v>0</v>
      </c>
      <c r="AE18" s="96">
        <v>0</v>
      </c>
      <c r="AF18" s="96">
        <v>0</v>
      </c>
      <c r="AG18" s="96">
        <v>0</v>
      </c>
      <c r="AH18" s="96">
        <v>0</v>
      </c>
      <c r="AI18" s="96">
        <v>0</v>
      </c>
    </row>
    <row r="19" spans="1:35" ht="18.75" x14ac:dyDescent="0.3">
      <c r="A19" s="105"/>
      <c r="B19" s="93" t="s">
        <v>101</v>
      </c>
      <c r="C19" s="94" t="s">
        <v>37</v>
      </c>
      <c r="D19" s="97" t="s">
        <v>100</v>
      </c>
      <c r="E19" s="96"/>
      <c r="F19" s="96">
        <v>0</v>
      </c>
      <c r="G19" s="96">
        <v>0</v>
      </c>
      <c r="H19" s="96">
        <v>0</v>
      </c>
      <c r="I19" s="96">
        <v>0</v>
      </c>
      <c r="J19" s="96">
        <v>0</v>
      </c>
      <c r="K19" s="96">
        <v>0</v>
      </c>
      <c r="L19" s="96">
        <v>0</v>
      </c>
      <c r="M19" s="96">
        <v>0</v>
      </c>
      <c r="N19" s="96">
        <v>0</v>
      </c>
      <c r="O19" s="96">
        <f t="shared" si="0"/>
        <v>0</v>
      </c>
      <c r="P19" s="96">
        <v>0</v>
      </c>
      <c r="Q19" s="96">
        <v>0</v>
      </c>
      <c r="R19" s="96">
        <v>0</v>
      </c>
      <c r="S19" s="96">
        <v>0</v>
      </c>
      <c r="T19" s="96">
        <v>0</v>
      </c>
      <c r="U19" s="96">
        <v>0</v>
      </c>
      <c r="V19" s="96">
        <v>0</v>
      </c>
      <c r="W19" s="96">
        <v>0</v>
      </c>
      <c r="X19" s="96">
        <v>0</v>
      </c>
      <c r="Y19" s="96">
        <v>0</v>
      </c>
      <c r="Z19" s="96">
        <v>0</v>
      </c>
      <c r="AA19" s="96">
        <v>0</v>
      </c>
      <c r="AB19" s="96">
        <v>0</v>
      </c>
      <c r="AC19" s="96">
        <v>0</v>
      </c>
      <c r="AD19" s="96">
        <v>0</v>
      </c>
      <c r="AE19" s="96">
        <v>0</v>
      </c>
      <c r="AF19" s="96">
        <v>0</v>
      </c>
      <c r="AG19" s="96">
        <v>0</v>
      </c>
      <c r="AH19" s="96">
        <v>0</v>
      </c>
      <c r="AI19" s="96">
        <v>0</v>
      </c>
    </row>
    <row r="20" spans="1:35" ht="18.75" x14ac:dyDescent="0.3">
      <c r="A20" s="105"/>
      <c r="B20" s="93" t="s">
        <v>58</v>
      </c>
      <c r="C20" s="94" t="s">
        <v>36</v>
      </c>
      <c r="D20" s="97" t="s">
        <v>100</v>
      </c>
      <c r="E20" s="96"/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96">
        <v>0</v>
      </c>
      <c r="N20" s="96">
        <v>0</v>
      </c>
      <c r="O20" s="96">
        <f t="shared" si="0"/>
        <v>0</v>
      </c>
      <c r="P20" s="96">
        <v>0</v>
      </c>
      <c r="Q20" s="96">
        <v>0</v>
      </c>
      <c r="R20" s="96">
        <v>0</v>
      </c>
      <c r="S20" s="96">
        <v>0</v>
      </c>
      <c r="T20" s="96">
        <v>0</v>
      </c>
      <c r="U20" s="96">
        <v>0</v>
      </c>
      <c r="V20" s="96">
        <v>0</v>
      </c>
      <c r="W20" s="96">
        <v>0</v>
      </c>
      <c r="X20" s="96">
        <v>0</v>
      </c>
      <c r="Y20" s="96">
        <v>0</v>
      </c>
      <c r="Z20" s="96">
        <v>0</v>
      </c>
      <c r="AA20" s="96">
        <v>0</v>
      </c>
      <c r="AB20" s="96">
        <v>0</v>
      </c>
      <c r="AC20" s="96">
        <v>0</v>
      </c>
      <c r="AD20" s="96">
        <v>0</v>
      </c>
      <c r="AE20" s="96">
        <v>0</v>
      </c>
      <c r="AF20" s="96">
        <v>0</v>
      </c>
      <c r="AG20" s="96">
        <v>0</v>
      </c>
      <c r="AH20" s="96">
        <v>0</v>
      </c>
      <c r="AI20" s="96">
        <v>0</v>
      </c>
    </row>
    <row r="21" spans="1:35" ht="18.75" x14ac:dyDescent="0.3">
      <c r="A21" s="105"/>
      <c r="B21" s="93" t="s">
        <v>61</v>
      </c>
      <c r="C21" s="94" t="s">
        <v>94</v>
      </c>
      <c r="D21" s="97" t="s">
        <v>100</v>
      </c>
      <c r="E21" s="96"/>
      <c r="F21" s="96">
        <v>0</v>
      </c>
      <c r="G21" s="96">
        <v>0</v>
      </c>
      <c r="H21" s="96">
        <v>0</v>
      </c>
      <c r="I21" s="96">
        <v>0</v>
      </c>
      <c r="J21" s="96">
        <v>0</v>
      </c>
      <c r="K21" s="96">
        <v>0</v>
      </c>
      <c r="L21" s="96">
        <v>0</v>
      </c>
      <c r="M21" s="96">
        <v>0</v>
      </c>
      <c r="N21" s="96">
        <v>0</v>
      </c>
      <c r="O21" s="96">
        <f t="shared" si="0"/>
        <v>0</v>
      </c>
      <c r="P21" s="96">
        <v>0</v>
      </c>
      <c r="Q21" s="96">
        <v>0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96">
        <v>0</v>
      </c>
      <c r="Z21" s="96">
        <v>0</v>
      </c>
      <c r="AA21" s="96">
        <v>0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</v>
      </c>
      <c r="AH21" s="96">
        <v>0</v>
      </c>
      <c r="AI21" s="96">
        <v>0</v>
      </c>
    </row>
    <row r="22" spans="1:35" ht="18.75" x14ac:dyDescent="0.3">
      <c r="A22" s="105"/>
      <c r="B22" s="93" t="s">
        <v>65</v>
      </c>
      <c r="C22" s="94" t="s">
        <v>92</v>
      </c>
      <c r="D22" s="97" t="s">
        <v>100</v>
      </c>
      <c r="E22" s="96"/>
      <c r="F22" s="96">
        <v>0</v>
      </c>
      <c r="G22" s="96">
        <v>0</v>
      </c>
      <c r="H22" s="96">
        <v>0</v>
      </c>
      <c r="I22" s="96">
        <v>0</v>
      </c>
      <c r="J22" s="96">
        <v>0</v>
      </c>
      <c r="K22" s="96">
        <v>0</v>
      </c>
      <c r="L22" s="96">
        <v>0</v>
      </c>
      <c r="M22" s="96">
        <v>0</v>
      </c>
      <c r="N22" s="96">
        <v>0</v>
      </c>
      <c r="O22" s="96">
        <f t="shared" si="0"/>
        <v>0</v>
      </c>
      <c r="P22" s="96">
        <v>0</v>
      </c>
      <c r="Q22" s="96">
        <v>0</v>
      </c>
      <c r="R22" s="96">
        <v>0</v>
      </c>
      <c r="S22" s="96">
        <v>0</v>
      </c>
      <c r="T22" s="96">
        <v>0</v>
      </c>
      <c r="U22" s="96">
        <v>0</v>
      </c>
      <c r="V22" s="96">
        <v>0</v>
      </c>
      <c r="W22" s="96">
        <v>0</v>
      </c>
      <c r="X22" s="96">
        <v>0</v>
      </c>
      <c r="Y22" s="96">
        <v>0</v>
      </c>
      <c r="Z22" s="96">
        <v>0</v>
      </c>
      <c r="AA22" s="96">
        <v>0</v>
      </c>
      <c r="AB22" s="96">
        <v>0</v>
      </c>
      <c r="AC22" s="96">
        <v>0</v>
      </c>
      <c r="AD22" s="96">
        <v>0</v>
      </c>
      <c r="AE22" s="96">
        <v>0</v>
      </c>
      <c r="AF22" s="96">
        <v>0</v>
      </c>
      <c r="AG22" s="96">
        <v>0</v>
      </c>
      <c r="AH22" s="96">
        <v>0</v>
      </c>
      <c r="AI22" s="96">
        <v>0</v>
      </c>
    </row>
    <row r="23" spans="1:35" ht="18.75" x14ac:dyDescent="0.3">
      <c r="A23" s="105"/>
      <c r="B23" s="93" t="s">
        <v>67</v>
      </c>
      <c r="C23" s="94" t="s">
        <v>93</v>
      </c>
      <c r="D23" s="97" t="s">
        <v>100</v>
      </c>
      <c r="E23" s="96"/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f t="shared" si="0"/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0</v>
      </c>
      <c r="Z23" s="96">
        <v>0</v>
      </c>
      <c r="AA23" s="96">
        <v>0</v>
      </c>
      <c r="AB23" s="96">
        <v>0</v>
      </c>
      <c r="AC23" s="96">
        <v>0</v>
      </c>
      <c r="AD23" s="96">
        <v>0</v>
      </c>
      <c r="AE23" s="96">
        <v>0</v>
      </c>
      <c r="AF23" s="96">
        <v>0</v>
      </c>
      <c r="AG23" s="96">
        <v>0</v>
      </c>
      <c r="AH23" s="96">
        <v>0</v>
      </c>
      <c r="AI23" s="96">
        <v>0</v>
      </c>
    </row>
    <row r="24" spans="1:35" ht="18.75" x14ac:dyDescent="0.3">
      <c r="A24" s="105"/>
      <c r="B24" s="98" t="s">
        <v>70</v>
      </c>
      <c r="C24" s="99" t="s">
        <v>71</v>
      </c>
      <c r="D24" s="97" t="s">
        <v>100</v>
      </c>
      <c r="E24" s="96"/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f t="shared" si="0"/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96">
        <v>0</v>
      </c>
      <c r="Z24" s="96">
        <v>0</v>
      </c>
      <c r="AA24" s="96">
        <v>0</v>
      </c>
      <c r="AB24" s="96">
        <v>0</v>
      </c>
      <c r="AC24" s="96">
        <v>0</v>
      </c>
      <c r="AD24" s="96">
        <v>0</v>
      </c>
      <c r="AE24" s="96">
        <v>0</v>
      </c>
      <c r="AF24" s="96">
        <v>0</v>
      </c>
      <c r="AG24" s="96">
        <v>0</v>
      </c>
      <c r="AH24" s="96">
        <v>0</v>
      </c>
      <c r="AI24" s="96">
        <v>0</v>
      </c>
    </row>
    <row r="25" spans="1:35" ht="18.75" x14ac:dyDescent="0.3">
      <c r="A25" s="105"/>
      <c r="B25" s="100" t="s">
        <v>72</v>
      </c>
      <c r="C25" s="94" t="s">
        <v>21</v>
      </c>
      <c r="D25" s="97" t="s">
        <v>100</v>
      </c>
      <c r="E25" s="96"/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f t="shared" si="0"/>
        <v>0</v>
      </c>
      <c r="P25" s="96">
        <v>0</v>
      </c>
      <c r="Q25" s="96">
        <v>0</v>
      </c>
      <c r="R25" s="96">
        <v>0</v>
      </c>
      <c r="S25" s="96">
        <v>0</v>
      </c>
      <c r="T25" s="96">
        <v>0</v>
      </c>
      <c r="U25" s="96">
        <v>0</v>
      </c>
      <c r="V25" s="96">
        <v>0</v>
      </c>
      <c r="W25" s="96">
        <v>0</v>
      </c>
      <c r="X25" s="96">
        <v>0</v>
      </c>
      <c r="Y25" s="96">
        <v>0</v>
      </c>
      <c r="Z25" s="96">
        <v>0</v>
      </c>
      <c r="AA25" s="96">
        <v>0</v>
      </c>
      <c r="AB25" s="96">
        <v>0</v>
      </c>
      <c r="AC25" s="96">
        <v>0</v>
      </c>
      <c r="AD25" s="96">
        <v>0</v>
      </c>
      <c r="AE25" s="96">
        <v>0</v>
      </c>
      <c r="AF25" s="96">
        <v>0</v>
      </c>
      <c r="AG25" s="96">
        <v>0</v>
      </c>
      <c r="AH25" s="96">
        <v>0</v>
      </c>
      <c r="AI25" s="96">
        <v>0</v>
      </c>
    </row>
    <row r="26" spans="1:35" ht="18.75" x14ac:dyDescent="0.3">
      <c r="A26" s="105"/>
      <c r="B26" s="100" t="s">
        <v>73</v>
      </c>
      <c r="C26" s="94" t="s">
        <v>74</v>
      </c>
      <c r="D26" s="97" t="s">
        <v>100</v>
      </c>
      <c r="E26" s="96"/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f t="shared" si="0"/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Z26" s="96">
        <v>0</v>
      </c>
      <c r="AA26" s="96">
        <v>0</v>
      </c>
      <c r="AB26" s="96">
        <v>0</v>
      </c>
      <c r="AC26" s="96">
        <v>0</v>
      </c>
      <c r="AD26" s="96">
        <v>0</v>
      </c>
      <c r="AE26" s="96">
        <v>0</v>
      </c>
      <c r="AF26" s="96">
        <v>0</v>
      </c>
      <c r="AG26" s="96">
        <v>0</v>
      </c>
      <c r="AH26" s="96">
        <v>0</v>
      </c>
      <c r="AI26" s="96">
        <v>0</v>
      </c>
    </row>
    <row r="27" spans="1:35" ht="18.75" x14ac:dyDescent="0.3">
      <c r="A27" s="105"/>
      <c r="B27" s="37"/>
      <c r="C27" s="35"/>
      <c r="D27" s="35"/>
      <c r="E27" s="35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spans="1:35" ht="18.75" x14ac:dyDescent="0.3">
      <c r="A28" s="105"/>
      <c r="B28" s="38" t="s">
        <v>69</v>
      </c>
      <c r="C28" s="35" t="s">
        <v>0</v>
      </c>
      <c r="D28" s="35"/>
      <c r="E28" s="35"/>
      <c r="F28" s="36">
        <f>COUNTIF(F5:F12,"OFF")</f>
        <v>3</v>
      </c>
      <c r="G28" s="36">
        <f t="shared" ref="G28:AI28" si="1">COUNTIF(G5:G11,"OFF")</f>
        <v>3</v>
      </c>
      <c r="H28" s="36">
        <f t="shared" si="1"/>
        <v>1</v>
      </c>
      <c r="I28" s="36">
        <f t="shared" si="1"/>
        <v>2</v>
      </c>
      <c r="J28" s="36">
        <f t="shared" si="1"/>
        <v>1</v>
      </c>
      <c r="K28" s="36">
        <f t="shared" si="1"/>
        <v>0</v>
      </c>
      <c r="L28" s="36">
        <f t="shared" si="1"/>
        <v>0</v>
      </c>
      <c r="M28" s="36">
        <f t="shared" si="1"/>
        <v>0</v>
      </c>
      <c r="N28" s="36">
        <f t="shared" si="1"/>
        <v>0</v>
      </c>
      <c r="O28" s="36">
        <f t="shared" si="1"/>
        <v>0</v>
      </c>
      <c r="P28" s="36">
        <f t="shared" si="1"/>
        <v>0</v>
      </c>
      <c r="Q28" s="36">
        <f t="shared" si="1"/>
        <v>0</v>
      </c>
      <c r="R28" s="36">
        <f t="shared" si="1"/>
        <v>0</v>
      </c>
      <c r="S28" s="36">
        <f t="shared" si="1"/>
        <v>0</v>
      </c>
      <c r="T28" s="36">
        <f t="shared" si="1"/>
        <v>0</v>
      </c>
      <c r="U28" s="36">
        <f t="shared" si="1"/>
        <v>0</v>
      </c>
      <c r="V28" s="36">
        <f>COUNTIF(V5:V11,"OFF")</f>
        <v>0</v>
      </c>
      <c r="W28" s="36">
        <f t="shared" si="1"/>
        <v>0</v>
      </c>
      <c r="X28" s="36">
        <f t="shared" si="1"/>
        <v>0</v>
      </c>
      <c r="Y28" s="36">
        <f t="shared" si="1"/>
        <v>0</v>
      </c>
      <c r="Z28" s="36">
        <f t="shared" si="1"/>
        <v>0</v>
      </c>
      <c r="AA28" s="36">
        <f t="shared" si="1"/>
        <v>0</v>
      </c>
      <c r="AB28" s="36">
        <f t="shared" si="1"/>
        <v>0</v>
      </c>
      <c r="AC28" s="36">
        <f t="shared" si="1"/>
        <v>0</v>
      </c>
      <c r="AD28" s="36">
        <f t="shared" si="1"/>
        <v>0</v>
      </c>
      <c r="AE28" s="36">
        <f t="shared" si="1"/>
        <v>0</v>
      </c>
      <c r="AF28" s="36">
        <f t="shared" si="1"/>
        <v>0</v>
      </c>
      <c r="AG28" s="36">
        <f t="shared" si="1"/>
        <v>0</v>
      </c>
      <c r="AH28" s="36">
        <f t="shared" si="1"/>
        <v>0</v>
      </c>
      <c r="AI28" s="36">
        <f t="shared" si="1"/>
        <v>0</v>
      </c>
    </row>
    <row r="29" spans="1:35" ht="18.75" x14ac:dyDescent="0.3">
      <c r="A29" s="105"/>
      <c r="B29" s="59" t="s">
        <v>70</v>
      </c>
      <c r="C29" s="60" t="s">
        <v>71</v>
      </c>
      <c r="D29" s="35"/>
      <c r="E29" s="35"/>
      <c r="F29" s="36">
        <f t="shared" ref="F29:AI29" si="2">COUNTIF(F8:F13,"UL")</f>
        <v>0</v>
      </c>
      <c r="G29" s="36">
        <f t="shared" si="2"/>
        <v>0</v>
      </c>
      <c r="H29" s="36">
        <f t="shared" si="2"/>
        <v>0</v>
      </c>
      <c r="I29" s="36">
        <f t="shared" si="2"/>
        <v>0</v>
      </c>
      <c r="J29" s="36">
        <f t="shared" si="2"/>
        <v>0</v>
      </c>
      <c r="K29" s="36">
        <f t="shared" si="2"/>
        <v>0</v>
      </c>
      <c r="L29" s="36">
        <f t="shared" si="2"/>
        <v>0</v>
      </c>
      <c r="M29" s="36">
        <f t="shared" si="2"/>
        <v>0</v>
      </c>
      <c r="N29" s="36">
        <f t="shared" si="2"/>
        <v>0</v>
      </c>
      <c r="O29" s="36">
        <f t="shared" si="2"/>
        <v>0</v>
      </c>
      <c r="P29" s="36">
        <f t="shared" si="2"/>
        <v>0</v>
      </c>
      <c r="Q29" s="36">
        <f t="shared" si="2"/>
        <v>0</v>
      </c>
      <c r="R29" s="36">
        <f t="shared" si="2"/>
        <v>0</v>
      </c>
      <c r="S29" s="36">
        <f t="shared" si="2"/>
        <v>0</v>
      </c>
      <c r="T29" s="36">
        <f t="shared" si="2"/>
        <v>0</v>
      </c>
      <c r="U29" s="36">
        <f t="shared" si="2"/>
        <v>0</v>
      </c>
      <c r="V29" s="36">
        <f t="shared" si="2"/>
        <v>0</v>
      </c>
      <c r="W29" s="36">
        <f t="shared" si="2"/>
        <v>0</v>
      </c>
      <c r="X29" s="36">
        <f t="shared" si="2"/>
        <v>0</v>
      </c>
      <c r="Y29" s="36">
        <f t="shared" si="2"/>
        <v>0</v>
      </c>
      <c r="Z29" s="36">
        <f t="shared" si="2"/>
        <v>0</v>
      </c>
      <c r="AA29" s="36">
        <f t="shared" si="2"/>
        <v>0</v>
      </c>
      <c r="AB29" s="36">
        <f t="shared" si="2"/>
        <v>0</v>
      </c>
      <c r="AC29" s="36">
        <f t="shared" si="2"/>
        <v>0</v>
      </c>
      <c r="AD29" s="36">
        <f t="shared" si="2"/>
        <v>0</v>
      </c>
      <c r="AE29" s="36">
        <f t="shared" si="2"/>
        <v>0</v>
      </c>
      <c r="AF29" s="36">
        <f t="shared" si="2"/>
        <v>0</v>
      </c>
      <c r="AG29" s="36">
        <f t="shared" si="2"/>
        <v>0</v>
      </c>
      <c r="AH29" s="36">
        <f t="shared" si="2"/>
        <v>0</v>
      </c>
      <c r="AI29" s="36">
        <f t="shared" si="2"/>
        <v>0</v>
      </c>
    </row>
    <row r="30" spans="1:35" ht="18.75" x14ac:dyDescent="0.3">
      <c r="A30" s="105"/>
      <c r="B30" s="38" t="s">
        <v>72</v>
      </c>
      <c r="C30" s="35" t="s">
        <v>21</v>
      </c>
      <c r="D30" s="35"/>
      <c r="E30" s="35"/>
      <c r="F30" s="36">
        <f t="shared" ref="F30:AI30" si="3">COUNTIF(F5:F12,"AL")</f>
        <v>0</v>
      </c>
      <c r="G30" s="36">
        <f t="shared" si="3"/>
        <v>0</v>
      </c>
      <c r="H30" s="36">
        <f t="shared" si="3"/>
        <v>0</v>
      </c>
      <c r="I30" s="36">
        <f t="shared" si="3"/>
        <v>0</v>
      </c>
      <c r="J30" s="36">
        <f t="shared" si="3"/>
        <v>0</v>
      </c>
      <c r="K30" s="36">
        <f t="shared" si="3"/>
        <v>0</v>
      </c>
      <c r="L30" s="36">
        <f t="shared" si="3"/>
        <v>0</v>
      </c>
      <c r="M30" s="36">
        <f t="shared" si="3"/>
        <v>0</v>
      </c>
      <c r="N30" s="36">
        <f t="shared" si="3"/>
        <v>0</v>
      </c>
      <c r="O30" s="36">
        <f t="shared" si="3"/>
        <v>0</v>
      </c>
      <c r="P30" s="36">
        <f t="shared" si="3"/>
        <v>0</v>
      </c>
      <c r="Q30" s="36">
        <f t="shared" si="3"/>
        <v>0</v>
      </c>
      <c r="R30" s="36">
        <f t="shared" si="3"/>
        <v>0</v>
      </c>
      <c r="S30" s="36">
        <f t="shared" si="3"/>
        <v>0</v>
      </c>
      <c r="T30" s="36">
        <f t="shared" si="3"/>
        <v>0</v>
      </c>
      <c r="U30" s="36">
        <f t="shared" si="3"/>
        <v>0</v>
      </c>
      <c r="V30" s="36">
        <f>COUNTIF(V5:V12,"AL")</f>
        <v>0</v>
      </c>
      <c r="W30" s="36">
        <f t="shared" si="3"/>
        <v>0</v>
      </c>
      <c r="X30" s="36">
        <f t="shared" si="3"/>
        <v>0</v>
      </c>
      <c r="Y30" s="36">
        <f t="shared" si="3"/>
        <v>0</v>
      </c>
      <c r="Z30" s="36">
        <f t="shared" si="3"/>
        <v>0</v>
      </c>
      <c r="AA30" s="36">
        <f t="shared" si="3"/>
        <v>0</v>
      </c>
      <c r="AB30" s="36">
        <f t="shared" si="3"/>
        <v>0</v>
      </c>
      <c r="AC30" s="36">
        <f t="shared" si="3"/>
        <v>0</v>
      </c>
      <c r="AD30" s="36">
        <f t="shared" si="3"/>
        <v>0</v>
      </c>
      <c r="AE30" s="36">
        <f t="shared" si="3"/>
        <v>0</v>
      </c>
      <c r="AF30" s="36">
        <f t="shared" si="3"/>
        <v>0</v>
      </c>
      <c r="AG30" s="36">
        <f t="shared" si="3"/>
        <v>0</v>
      </c>
      <c r="AH30" s="36">
        <f t="shared" si="3"/>
        <v>0</v>
      </c>
      <c r="AI30" s="36">
        <f t="shared" si="3"/>
        <v>0</v>
      </c>
    </row>
    <row r="31" spans="1:35" ht="18.75" x14ac:dyDescent="0.3">
      <c r="A31" s="105"/>
      <c r="B31" s="81" t="s">
        <v>73</v>
      </c>
      <c r="C31" s="35" t="s">
        <v>74</v>
      </c>
      <c r="D31" s="35"/>
      <c r="E31" s="35"/>
      <c r="F31" s="36">
        <f t="shared" ref="F31:AI31" si="4">COUNTIF(F5:F11,"PH")</f>
        <v>0</v>
      </c>
      <c r="G31" s="36">
        <f t="shared" si="4"/>
        <v>0</v>
      </c>
      <c r="H31" s="36">
        <f t="shared" si="4"/>
        <v>0</v>
      </c>
      <c r="I31" s="36">
        <f t="shared" si="4"/>
        <v>0</v>
      </c>
      <c r="J31" s="36">
        <f t="shared" si="4"/>
        <v>0</v>
      </c>
      <c r="K31" s="36">
        <f t="shared" si="4"/>
        <v>0</v>
      </c>
      <c r="L31" s="36">
        <f t="shared" si="4"/>
        <v>0</v>
      </c>
      <c r="M31" s="36">
        <f t="shared" si="4"/>
        <v>0</v>
      </c>
      <c r="N31" s="36">
        <f t="shared" si="4"/>
        <v>0</v>
      </c>
      <c r="O31" s="36">
        <f t="shared" si="4"/>
        <v>0</v>
      </c>
      <c r="P31" s="36">
        <f t="shared" si="4"/>
        <v>0</v>
      </c>
      <c r="Q31" s="36">
        <f t="shared" si="4"/>
        <v>0</v>
      </c>
      <c r="R31" s="36">
        <f t="shared" si="4"/>
        <v>0</v>
      </c>
      <c r="S31" s="36">
        <f t="shared" si="4"/>
        <v>0</v>
      </c>
      <c r="T31" s="36">
        <f t="shared" si="4"/>
        <v>0</v>
      </c>
      <c r="U31" s="36">
        <f t="shared" si="4"/>
        <v>0</v>
      </c>
      <c r="V31" s="36">
        <f>COUNTIF(V5:V11,"PH")</f>
        <v>0</v>
      </c>
      <c r="W31" s="36">
        <f t="shared" si="4"/>
        <v>0</v>
      </c>
      <c r="X31" s="36">
        <f t="shared" si="4"/>
        <v>0</v>
      </c>
      <c r="Y31" s="36">
        <f t="shared" si="4"/>
        <v>0</v>
      </c>
      <c r="Z31" s="36">
        <f t="shared" si="4"/>
        <v>0</v>
      </c>
      <c r="AA31" s="36">
        <f t="shared" si="4"/>
        <v>0</v>
      </c>
      <c r="AB31" s="36">
        <f t="shared" si="4"/>
        <v>0</v>
      </c>
      <c r="AC31" s="36">
        <f t="shared" si="4"/>
        <v>0</v>
      </c>
      <c r="AD31" s="36">
        <f t="shared" si="4"/>
        <v>0</v>
      </c>
      <c r="AE31" s="36">
        <f t="shared" si="4"/>
        <v>0</v>
      </c>
      <c r="AF31" s="36">
        <f t="shared" si="4"/>
        <v>0</v>
      </c>
      <c r="AG31" s="36">
        <f t="shared" si="4"/>
        <v>0</v>
      </c>
      <c r="AH31" s="36">
        <f t="shared" si="4"/>
        <v>0</v>
      </c>
      <c r="AI31" s="36">
        <f t="shared" si="4"/>
        <v>0</v>
      </c>
    </row>
    <row r="32" spans="1:35" ht="14.25" customHeight="1" x14ac:dyDescent="0.2">
      <c r="A32" s="82"/>
      <c r="B32" s="48"/>
    </row>
    <row r="33" spans="1:2" ht="14.25" customHeight="1" x14ac:dyDescent="0.2">
      <c r="A33" s="82"/>
      <c r="B33" s="48"/>
    </row>
    <row r="34" spans="1:2" ht="14.25" customHeight="1" x14ac:dyDescent="0.2">
      <c r="A34" s="82"/>
      <c r="B34" s="48"/>
    </row>
    <row r="35" spans="1:2" x14ac:dyDescent="0.2">
      <c r="A35" s="48"/>
      <c r="B35" s="48"/>
    </row>
  </sheetData>
  <mergeCells count="3">
    <mergeCell ref="A1:AH2"/>
    <mergeCell ref="A12:AI13"/>
    <mergeCell ref="A14:A31"/>
  </mergeCells>
  <phoneticPr fontId="30" type="noConversion"/>
  <conditionalFormatting sqref="F5:AL11">
    <cfRule type="containsText" dxfId="0" priority="1" operator="containsText" text="OFF">
      <formula>NOT(ISERROR(SEARCH("OFF",F5)))</formula>
    </cfRule>
  </conditionalFormatting>
  <pageMargins left="0.7" right="0.7" top="0.75" bottom="0.75" header="0.3" footer="0.3"/>
  <pageSetup paperSize="0" orientation="portrait" horizontalDpi="180" verticalDpi="18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JAN</vt:lpstr>
      <vt:lpstr>FEB</vt:lpstr>
      <vt:lpstr>MAR</vt:lpstr>
      <vt:lpstr>APR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ALDO-BD</dc:creator>
  <cp:keywords/>
  <dc:description/>
  <cp:lastModifiedBy>ALDO Da Lat</cp:lastModifiedBy>
  <cp:revision/>
  <dcterms:created xsi:type="dcterms:W3CDTF">2022-04-01T09:35:36Z</dcterms:created>
  <dcterms:modified xsi:type="dcterms:W3CDTF">2026-03-31T06:47:41Z</dcterms:modified>
  <cp:category/>
  <cp:contentStatus/>
</cp:coreProperties>
</file>